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licers/slicer1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slicers/slicer2.xml" ContentType="application/vnd.ms-excel.slicer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slicers/slicer3.xml" ContentType="application/vnd.ms-excel.slicer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slicers/slicer4.xml" ContentType="application/vnd.ms-excel.slicer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14.xml" ContentType="application/vnd.openxmlformats-officedocument.spreadsheetml.pivotTable+xml"/>
  <Override PartName="/xl/drawings/drawing14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asa\Desktop\Git\Excel\Lamborghini Sales\"/>
    </mc:Choice>
  </mc:AlternateContent>
  <xr:revisionPtr revIDLastSave="0" documentId="13_ncr:1_{D8017C81-7E94-4806-BB35-5071E302C1B0}" xr6:coauthVersionLast="47" xr6:coauthVersionMax="47" xr10:uidLastSave="{00000000-0000-0000-0000-000000000000}"/>
  <bookViews>
    <workbookView xWindow="-110" yWindow="-110" windowWidth="19420" windowHeight="10300" tabRatio="654" firstSheet="8" activeTab="9" xr2:uid="{C7F0C4FE-1526-4438-9CA6-F1C038474145}"/>
  </bookViews>
  <sheets>
    <sheet name="KPI_P_1" sheetId="12" state="hidden" r:id="rId1"/>
    <sheet name="KPI_P_2" sheetId="13" state="hidden" r:id="rId2"/>
    <sheet name="KPI_P_3" sheetId="14" state="hidden" r:id="rId3"/>
    <sheet name="KPI_G_1" sheetId="16" state="hidden" r:id="rId4"/>
    <sheet name="KPI_G_2" sheetId="17" state="hidden" r:id="rId5"/>
    <sheet name="KPI_G_3" sheetId="18" state="hidden" r:id="rId6"/>
    <sheet name="YOY" sheetId="20" state="hidden" r:id="rId7"/>
    <sheet name="lamborghini_sales_2020_2025" sheetId="2" state="hidden" r:id="rId8"/>
    <sheet name="Dashboard_Desing" sheetId="23" r:id="rId9"/>
    <sheet name="Dashboard" sheetId="19" r:id="rId10"/>
    <sheet name="KPI_V_1" sheetId="1" state="hidden" r:id="rId11"/>
    <sheet name="KPI_V_2" sheetId="3" state="hidden" r:id="rId12"/>
    <sheet name="KPI_V_3" sheetId="4" state="hidden" r:id="rId13"/>
    <sheet name="KPI_R_1" sheetId="7" state="hidden" r:id="rId14"/>
    <sheet name="KPI_R_2" sheetId="8" state="hidden" r:id="rId15"/>
    <sheet name="KPI_R_3" sheetId="9" state="hidden" r:id="rId16"/>
    <sheet name="KPI_R_4" sheetId="10" state="hidden" r:id="rId17"/>
  </sheets>
  <definedNames>
    <definedName name="DatiEsterni_1" localSheetId="7" hidden="1">lamborghini_sales_2020_2025!$A$1:$I$55</definedName>
    <definedName name="FiltroDati_Model">#N/A</definedName>
    <definedName name="FiltroDati_Year">#N/A</definedName>
  </definedNames>
  <calcPr calcId="191029"/>
  <pivotCaches>
    <pivotCache cacheId="0" r:id="rId18"/>
  </pivotCaches>
  <extLst>
    <ext xmlns:x14="http://schemas.microsoft.com/office/spreadsheetml/2009/9/main" uri="{BBE1A952-AA13-448e-AADC-164F8A28A991}">
      <x14:slicerCaches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4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D96AE6-78B5-4148-B533-2D91B17E533D}" keepAlive="1" name="Query - lamborghini_sales_2020_2025" description="Connessione alla query 'lamborghini_sales_2020_2025' nella cartella di lavoro." type="5" refreshedVersion="8" background="1" saveData="1">
    <dbPr connection="Provider=Microsoft.Mashup.OleDb.1;Data Source=$Workbook$;Location=lamborghini_sales_2020_2025;Extended Properties=&quot;&quot;" command="SELECT * FROM [lamborghini_sales_2020_2025]"/>
  </connection>
</connections>
</file>

<file path=xl/sharedStrings.xml><?xml version="1.0" encoding="utf-8"?>
<sst xmlns="http://schemas.openxmlformats.org/spreadsheetml/2006/main" count="382" uniqueCount="47">
  <si>
    <t>Model</t>
  </si>
  <si>
    <t>Year</t>
  </si>
  <si>
    <t>Region</t>
  </si>
  <si>
    <t>Color</t>
  </si>
  <si>
    <t>Fuel Type</t>
  </si>
  <si>
    <t>Base Price (USD)</t>
  </si>
  <si>
    <t>Horsepower</t>
  </si>
  <si>
    <t>Sales Volume</t>
  </si>
  <si>
    <t>Turbo (Yes/No)</t>
  </si>
  <si>
    <t>Urus</t>
  </si>
  <si>
    <t>EMEA</t>
  </si>
  <si>
    <t>Black</t>
  </si>
  <si>
    <t>Gasoline</t>
  </si>
  <si>
    <t>Yes</t>
  </si>
  <si>
    <t>Americas</t>
  </si>
  <si>
    <t>White</t>
  </si>
  <si>
    <t>APAC</t>
  </si>
  <si>
    <t>Red</t>
  </si>
  <si>
    <t>Huracán</t>
  </si>
  <si>
    <t>Yellow</t>
  </si>
  <si>
    <t>Orange</t>
  </si>
  <si>
    <t>Aventador</t>
  </si>
  <si>
    <t>Silver</t>
  </si>
  <si>
    <t>Revuelto</t>
  </si>
  <si>
    <t>Blue</t>
  </si>
  <si>
    <t>Hybrid</t>
  </si>
  <si>
    <t>Green</t>
  </si>
  <si>
    <t>Urus SE</t>
  </si>
  <si>
    <t>Huracán (Temerario)</t>
  </si>
  <si>
    <t>Grey</t>
  </si>
  <si>
    <t>Somma di Sales Volume</t>
  </si>
  <si>
    <t>Etichette di riga</t>
  </si>
  <si>
    <t>Totale complessivo</t>
  </si>
  <si>
    <t>Ricavi</t>
  </si>
  <si>
    <t>Somma di Ricavi</t>
  </si>
  <si>
    <t>Media di Base Price (USD)</t>
  </si>
  <si>
    <t>(Tutto)</t>
  </si>
  <si>
    <t>Sales_Volume</t>
  </si>
  <si>
    <t xml:space="preserve">Total </t>
  </si>
  <si>
    <t>Models</t>
  </si>
  <si>
    <t>Revenue</t>
  </si>
  <si>
    <t>Geo_Market</t>
  </si>
  <si>
    <t>Fuel</t>
  </si>
  <si>
    <t>Sales_volume</t>
  </si>
  <si>
    <t xml:space="preserve"> Sales_Volume</t>
  </si>
  <si>
    <t>YOY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</si>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</sst>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,,&quot; mln&quot;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venir Next LT Pro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0" fillId="2" borderId="0" xfId="0" applyFill="1"/>
    <xf numFmtId="0" fontId="0" fillId="3" borderId="0" xfId="0" applyFill="1"/>
    <xf numFmtId="0" fontId="3" fillId="2" borderId="0" xfId="0" applyFont="1" applyFill="1"/>
    <xf numFmtId="10" fontId="0" fillId="0" borderId="0" xfId="0" applyNumberFormat="1"/>
    <xf numFmtId="9" fontId="0" fillId="0" borderId="0" xfId="1" applyFont="1"/>
    <xf numFmtId="0" fontId="0" fillId="0" borderId="0" xfId="0" applyNumberFormat="1"/>
    <xf numFmtId="0" fontId="1" fillId="0" borderId="0" xfId="0" applyNumberFormat="1" applyFont="1"/>
  </cellXfs>
  <cellStyles count="2">
    <cellStyle name="Normale" xfId="0" builtinId="0"/>
    <cellStyle name="Percentuale" xfId="1" builtinId="5"/>
  </cellStyles>
  <dxfs count="101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#,##0,,&quot; mln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theme="0"/>
      </font>
      <fill>
        <patternFill>
          <fgColor theme="3"/>
        </patternFill>
      </fill>
    </dxf>
    <dxf>
      <fill>
        <patternFill>
          <fgColor theme="3"/>
          <bgColor theme="3" tint="9.9948118533890809E-2"/>
        </patternFill>
      </fill>
    </dxf>
  </dxfs>
  <tableStyles count="1" defaultTableStyle="TableStyleMedium2" defaultPivotStyle="PivotStyleLight16">
    <tableStyle name="Stile filtro dati 1" pivot="0" table="0" count="10" xr9:uid="{E504C31E-A963-4ED6-9F58-FAE8E971EEE4}">
      <tableStyleElement type="wholeTable" dxfId="100"/>
      <tableStyleElement type="headerRow" dxfId="99"/>
    </tableStyle>
  </tableStyles>
  <extLst>
    <ext xmlns:x14="http://schemas.microsoft.com/office/spreadsheetml/2009/9/main" uri="{46F421CA-312F-682f-3DD2-61675219B42D}">
      <x14:dxfs count="8">
        <dxf>
          <font>
            <color theme="0"/>
          </font>
        </dxf>
        <dxf>
          <font>
            <color theme="0"/>
          </font>
        </dxf>
        <dxf>
          <font>
            <color theme="0"/>
          </font>
        </dxf>
        <dxf>
          <font>
            <color theme="0"/>
          </font>
        </dxf>
        <dxf>
          <font>
            <color theme="0"/>
          </font>
          <fill>
            <patternFill>
              <bgColor theme="4"/>
            </patternFill>
          </fill>
        </dxf>
        <dxf>
          <font>
            <b/>
            <i val="0"/>
            <color theme="0"/>
          </font>
          <fill>
            <patternFill>
              <bgColor theme="4" tint="0.39994506668294322"/>
            </patternFill>
          </fill>
        </dxf>
        <dxf>
          <font>
            <color theme="0"/>
          </font>
        </dxf>
        <dxf>
          <font>
            <color theme="0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Stile filtro dati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07/relationships/slicerCache" Target="slicerCaches/slicerCache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 - Copia.xlsx]KPI_P_1!Tabella pivot11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KPI_P_1!$B$3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A72-4138-898B-990D701F41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A72-4138-898B-990D701F4157}"/>
              </c:ext>
            </c:extLst>
          </c:dPt>
          <c:cat>
            <c:strRef>
              <c:f>KPI_P_1!$A$4:$A$6</c:f>
              <c:strCache>
                <c:ptCount val="2"/>
                <c:pt idx="0">
                  <c:v>Gasoline</c:v>
                </c:pt>
                <c:pt idx="1">
                  <c:v>Hybrid</c:v>
                </c:pt>
              </c:strCache>
            </c:strRef>
          </c:cat>
          <c:val>
            <c:numRef>
              <c:f>KPI_P_1!$B$4:$B$6</c:f>
              <c:numCache>
                <c:formatCode>0.00%</c:formatCode>
                <c:ptCount val="2"/>
                <c:pt idx="0">
                  <c:v>0.71976459603604626</c:v>
                </c:pt>
                <c:pt idx="1">
                  <c:v>0.28023540396395374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E-40C8-92CF-FBCCBB9C3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 - Copia.xlsx]KPI_P_2!Tabella pivot12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KPI_P_2!$B$3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KPI_P_2!$A$4:$A$13</c:f>
              <c:strCache>
                <c:ptCount val="9"/>
                <c:pt idx="0">
                  <c:v>Green</c:v>
                </c:pt>
                <c:pt idx="1">
                  <c:v>Grey</c:v>
                </c:pt>
                <c:pt idx="2">
                  <c:v>Blue</c:v>
                </c:pt>
                <c:pt idx="3">
                  <c:v>Silver</c:v>
                </c:pt>
                <c:pt idx="4">
                  <c:v>Red</c:v>
                </c:pt>
                <c:pt idx="5">
                  <c:v>Yellow</c:v>
                </c:pt>
                <c:pt idx="6">
                  <c:v>Orange</c:v>
                </c:pt>
                <c:pt idx="7">
                  <c:v>White</c:v>
                </c:pt>
                <c:pt idx="8">
                  <c:v>Black</c:v>
                </c:pt>
              </c:strCache>
            </c:strRef>
          </c:cat>
          <c:val>
            <c:numRef>
              <c:f>KPI_P_2!$B$4:$B$13</c:f>
              <c:numCache>
                <c:formatCode>General</c:formatCode>
                <c:ptCount val="9"/>
                <c:pt idx="0">
                  <c:v>900</c:v>
                </c:pt>
                <c:pt idx="1">
                  <c:v>1300</c:v>
                </c:pt>
                <c:pt idx="2">
                  <c:v>3206</c:v>
                </c:pt>
                <c:pt idx="3">
                  <c:v>13571</c:v>
                </c:pt>
                <c:pt idx="4">
                  <c:v>15093</c:v>
                </c:pt>
                <c:pt idx="5">
                  <c:v>15761</c:v>
                </c:pt>
                <c:pt idx="6">
                  <c:v>17700</c:v>
                </c:pt>
                <c:pt idx="7">
                  <c:v>28943</c:v>
                </c:pt>
                <c:pt idx="8">
                  <c:v>44900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10-462D-AAF6-897492FD5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4645919"/>
        <c:axId val="1964647359"/>
      </c:barChart>
      <c:catAx>
        <c:axId val="1964645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64647359"/>
        <c:crosses val="autoZero"/>
        <c:auto val="1"/>
        <c:lblAlgn val="ctr"/>
        <c:lblOffset val="100"/>
        <c:noMultiLvlLbl val="0"/>
      </c:catAx>
      <c:valAx>
        <c:axId val="196464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6464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 - Copia.xlsx]KPI_P_3!Tabella pivot13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KPI_P_3!$B$3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KPI_P_3!$A$4:$A$9</c:f>
              <c:strCache>
                <c:ptCount val="5"/>
                <c:pt idx="0">
                  <c:v>850</c:v>
                </c:pt>
                <c:pt idx="1">
                  <c:v>769</c:v>
                </c:pt>
                <c:pt idx="2">
                  <c:v>1001</c:v>
                </c:pt>
                <c:pt idx="3">
                  <c:v>631</c:v>
                </c:pt>
                <c:pt idx="4">
                  <c:v>641</c:v>
                </c:pt>
              </c:strCache>
            </c:strRef>
          </c:cat>
          <c:val>
            <c:numRef>
              <c:f>KPI_P_3!$B$4:$B$9</c:f>
              <c:numCache>
                <c:formatCode>General</c:formatCode>
                <c:ptCount val="5"/>
                <c:pt idx="0">
                  <c:v>3850</c:v>
                </c:pt>
                <c:pt idx="1">
                  <c:v>5970</c:v>
                </c:pt>
                <c:pt idx="2">
                  <c:v>8956</c:v>
                </c:pt>
                <c:pt idx="3">
                  <c:v>41481</c:v>
                </c:pt>
                <c:pt idx="4">
                  <c:v>81117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4-49F8-853A-1DA52CE21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6398016"/>
        <c:axId val="946400416"/>
      </c:barChart>
      <c:catAx>
        <c:axId val="946398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6400416"/>
        <c:crosses val="autoZero"/>
        <c:auto val="1"/>
        <c:lblAlgn val="ctr"/>
        <c:lblOffset val="100"/>
        <c:noMultiLvlLbl val="0"/>
      </c:catAx>
      <c:valAx>
        <c:axId val="94640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639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 - Copia.xlsx]KPI_G_1!Tabella pivot15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KPI_G_1!$B$3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9A5-479F-B52D-34E4B77042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9A5-479F-B52D-34E4B77042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9A5-479F-B52D-34E4B7704292}"/>
              </c:ext>
            </c:extLst>
          </c:dPt>
          <c:cat>
            <c:strRef>
              <c:f>KPI_G_1!$A$4:$A$7</c:f>
              <c:strCache>
                <c:ptCount val="3"/>
                <c:pt idx="0">
                  <c:v>Americas</c:v>
                </c:pt>
                <c:pt idx="1">
                  <c:v>APAC</c:v>
                </c:pt>
                <c:pt idx="2">
                  <c:v>EMEA</c:v>
                </c:pt>
              </c:strCache>
            </c:strRef>
          </c:cat>
          <c:val>
            <c:numRef>
              <c:f>KPI_G_1!$B$4:$B$7</c:f>
              <c:numCache>
                <c:formatCode>General</c:formatCode>
                <c:ptCount val="3"/>
                <c:pt idx="0">
                  <c:v>55663</c:v>
                </c:pt>
                <c:pt idx="1">
                  <c:v>32043</c:v>
                </c:pt>
                <c:pt idx="2">
                  <c:v>53668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0F-45C7-AC95-67D00D5E2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 - Copia.xlsx]KPI_G_2!Tabella pivot16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KPI_G_2!$B$3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916-4247-98DB-EFFA5E2A77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916-4247-98DB-EFFA5E2A77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916-4247-98DB-EFFA5E2A774A}"/>
              </c:ext>
            </c:extLst>
          </c:dPt>
          <c:cat>
            <c:strRef>
              <c:f>KPI_G_2!$A$4:$A$7</c:f>
              <c:strCache>
                <c:ptCount val="3"/>
                <c:pt idx="0">
                  <c:v>Americas</c:v>
                </c:pt>
                <c:pt idx="1">
                  <c:v>APAC</c:v>
                </c:pt>
                <c:pt idx="2">
                  <c:v>EMEA</c:v>
                </c:pt>
              </c:strCache>
            </c:strRef>
          </c:cat>
          <c:val>
            <c:numRef>
              <c:f>KPI_G_2!$B$4:$B$7</c:f>
              <c:numCache>
                <c:formatCode>#,##0,," mln"</c:formatCode>
                <c:ptCount val="3"/>
                <c:pt idx="0">
                  <c:v>17224970000</c:v>
                </c:pt>
                <c:pt idx="1">
                  <c:v>10002955000</c:v>
                </c:pt>
                <c:pt idx="2">
                  <c:v>15961655000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0-49EC-996F-6597E0DE9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 - Copia.xlsx]YOY!Tabella pivot1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ln w="28575" cap="rnd">
            <a:solidFill>
              <a:schemeClr val="tx1"/>
            </a:solidFill>
            <a:round/>
          </a:ln>
          <a:effectLst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YOY!$B$3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>
              <a:softEdge rad="0"/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YOY!$A$4:$A$10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YOY!$B$4:$B$10</c:f>
              <c:numCache>
                <c:formatCode>0.00%</c:formatCode>
                <c:ptCount val="6"/>
                <c:pt idx="1">
                  <c:v>0.12194368507381083</c:v>
                </c:pt>
                <c:pt idx="2">
                  <c:v>0.11356125342241563</c:v>
                </c:pt>
                <c:pt idx="3">
                  <c:v>1.5240255572412183E-2</c:v>
                </c:pt>
                <c:pt idx="4">
                  <c:v>0.33283522578281316</c:v>
                </c:pt>
                <c:pt idx="5">
                  <c:v>-8.8463901855305574E-2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572-46B1-BEA8-10A4FACD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240975"/>
        <c:axId val="523945536"/>
      </c:lineChart>
      <c:catAx>
        <c:axId val="180724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945536"/>
        <c:crosses val="autoZero"/>
        <c:auto val="1"/>
        <c:lblAlgn val="ctr"/>
        <c:lblOffset val="100"/>
        <c:noMultiLvlLbl val="0"/>
      </c:catAx>
      <c:valAx>
        <c:axId val="52394553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8072409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 - Copia.xlsx]KPI_V_2!Tabella pivot2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Arial Nova Cond" panose="020B0506020202020204" pitchFamily="34" charset="0"/>
              </a:rPr>
              <a:t>Total</a:t>
            </a:r>
            <a:r>
              <a:rPr lang="en-US" b="1" baseline="0">
                <a:solidFill>
                  <a:schemeClr val="tx1"/>
                </a:solidFill>
                <a:latin typeface="Arial Nova Cond" panose="020B0506020202020204" pitchFamily="34" charset="0"/>
              </a:rPr>
              <a:t> Sales Volume</a:t>
            </a:r>
            <a:endParaRPr lang="en-US" b="1">
              <a:solidFill>
                <a:schemeClr val="tx1"/>
              </a:solidFill>
              <a:latin typeface="Arial Nova Cond" panose="020B0506020202020204" pitchFamily="34" charset="0"/>
            </a:endParaRPr>
          </a:p>
        </c:rich>
      </c:tx>
      <c:layout>
        <c:manualLayout>
          <c:xMode val="edge"/>
          <c:yMode val="edge"/>
          <c:x val="0.23871476929869748"/>
          <c:y val="1.91693290734824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KPI_V_2!$B$1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KPI_V_2!$A$2:$A$8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KPI_V_2!$B$2:$B$8</c:f>
              <c:numCache>
                <c:formatCode>General</c:formatCode>
                <c:ptCount val="6"/>
                <c:pt idx="0">
                  <c:v>20250</c:v>
                </c:pt>
                <c:pt idx="1">
                  <c:v>21925</c:v>
                </c:pt>
                <c:pt idx="2">
                  <c:v>24243</c:v>
                </c:pt>
                <c:pt idx="3">
                  <c:v>25838</c:v>
                </c:pt>
                <c:pt idx="4">
                  <c:v>27918</c:v>
                </c:pt>
                <c:pt idx="5">
                  <c:v>21200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E-47C0-A021-105D1BD005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9251967"/>
        <c:axId val="169251487"/>
      </c:barChart>
      <c:catAx>
        <c:axId val="16925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9251487"/>
        <c:crosses val="autoZero"/>
        <c:auto val="1"/>
        <c:lblAlgn val="ctr"/>
        <c:lblOffset val="100"/>
        <c:noMultiLvlLbl val="0"/>
      </c:catAx>
      <c:valAx>
        <c:axId val="1692514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925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 - Copia.xlsx]KPI_P_1!Tabella pivot11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baseline="0">
                <a:solidFill>
                  <a:schemeClr val="tx1"/>
                </a:solidFill>
              </a:rPr>
              <a:t>Sales Volume for fuel</a:t>
            </a:r>
            <a:endParaRPr lang="en-US" sz="11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3230385458016093"/>
          <c:y val="5.30973514674302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  <a:sp3d contourW="25400">
            <a:contourClr>
              <a:schemeClr val="tx1"/>
            </a:contourClr>
          </a:sp3d>
        </c:spPr>
      </c:pivotFmt>
      <c:pivotFmt>
        <c:idx val="8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  <a:sp3d contourW="25400">
            <a:contourClr>
              <a:schemeClr val="tx1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2493147654063903"/>
          <c:y val="0.25362419470293485"/>
          <c:w val="0.7506852345936097"/>
          <c:h val="0.70092125984251985"/>
        </c:manualLayout>
      </c:layout>
      <c:pieChart>
        <c:varyColors val="1"/>
        <c:ser>
          <c:idx val="0"/>
          <c:order val="0"/>
          <c:tx>
            <c:strRef>
              <c:f>KPI_P_1!$B$3</c:f>
              <c:strCache>
                <c:ptCount val="1"/>
                <c:pt idx="0">
                  <c:v>Totale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tx1"/>
                </a:solidFill>
              </a:ln>
              <a:effectLst/>
              <a:sp3d contourW="254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E34-4F3D-92FA-518AE55A26EB}"/>
              </c:ext>
            </c:extLst>
          </c:dPt>
          <c:dPt>
            <c:idx val="1"/>
            <c:bubble3D val="0"/>
            <c:explosion val="20"/>
            <c:spPr>
              <a:solidFill>
                <a:schemeClr val="accent2"/>
              </a:solidFill>
              <a:ln w="19050">
                <a:solidFill>
                  <a:schemeClr val="tx1"/>
                </a:solidFill>
              </a:ln>
              <a:effectLst/>
              <a:sp3d contourW="254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E34-4F3D-92FA-518AE55A26EB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KPI_P_1!$A$4:$A$6</c:f>
              <c:strCache>
                <c:ptCount val="2"/>
                <c:pt idx="0">
                  <c:v>Gasoline</c:v>
                </c:pt>
                <c:pt idx="1">
                  <c:v>Hybrid</c:v>
                </c:pt>
              </c:strCache>
            </c:strRef>
          </c:cat>
          <c:val>
            <c:numRef>
              <c:f>KPI_P_1!$B$4:$B$6</c:f>
              <c:numCache>
                <c:formatCode>0.00%</c:formatCode>
                <c:ptCount val="2"/>
                <c:pt idx="0">
                  <c:v>0.71976459603604626</c:v>
                </c:pt>
                <c:pt idx="1">
                  <c:v>0.28023540396395374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34-4F3D-92FA-518AE55A26E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 - Copia.xlsx]KPI_P_2!Tabella pivot12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it-IT" sz="1100" b="1">
                <a:solidFill>
                  <a:schemeClr val="tx1"/>
                </a:solidFill>
              </a:rPr>
              <a:t>Sales</a:t>
            </a:r>
            <a:r>
              <a:rPr lang="it-IT" sz="1100" b="1" baseline="0">
                <a:solidFill>
                  <a:schemeClr val="tx1"/>
                </a:solidFill>
              </a:rPr>
              <a:t> Volume for Model's color</a:t>
            </a:r>
            <a:endParaRPr lang="it-IT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416537104836418"/>
          <c:y val="0.16783386495951463"/>
          <c:w val="0.74527910125883945"/>
          <c:h val="0.7904994311971625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KPI_P_2!$B$3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KPI_P_2!$A$4:$A$13</c:f>
              <c:strCache>
                <c:ptCount val="9"/>
                <c:pt idx="0">
                  <c:v>Green</c:v>
                </c:pt>
                <c:pt idx="1">
                  <c:v>Grey</c:v>
                </c:pt>
                <c:pt idx="2">
                  <c:v>Blue</c:v>
                </c:pt>
                <c:pt idx="3">
                  <c:v>Silver</c:v>
                </c:pt>
                <c:pt idx="4">
                  <c:v>Red</c:v>
                </c:pt>
                <c:pt idx="5">
                  <c:v>Yellow</c:v>
                </c:pt>
                <c:pt idx="6">
                  <c:v>Orange</c:v>
                </c:pt>
                <c:pt idx="7">
                  <c:v>White</c:v>
                </c:pt>
                <c:pt idx="8">
                  <c:v>Black</c:v>
                </c:pt>
              </c:strCache>
            </c:strRef>
          </c:cat>
          <c:val>
            <c:numRef>
              <c:f>KPI_P_2!$B$4:$B$13</c:f>
              <c:numCache>
                <c:formatCode>General</c:formatCode>
                <c:ptCount val="9"/>
                <c:pt idx="0">
                  <c:v>900</c:v>
                </c:pt>
                <c:pt idx="1">
                  <c:v>1300</c:v>
                </c:pt>
                <c:pt idx="2">
                  <c:v>3206</c:v>
                </c:pt>
                <c:pt idx="3">
                  <c:v>13571</c:v>
                </c:pt>
                <c:pt idx="4">
                  <c:v>15093</c:v>
                </c:pt>
                <c:pt idx="5">
                  <c:v>15761</c:v>
                </c:pt>
                <c:pt idx="6">
                  <c:v>17700</c:v>
                </c:pt>
                <c:pt idx="7">
                  <c:v>28943</c:v>
                </c:pt>
                <c:pt idx="8">
                  <c:v>44900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3-4AA4-BDC3-E3314E57B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4645919"/>
        <c:axId val="1964647359"/>
      </c:barChart>
      <c:catAx>
        <c:axId val="1964645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64647359"/>
        <c:crosses val="autoZero"/>
        <c:auto val="1"/>
        <c:lblAlgn val="ctr"/>
        <c:lblOffset val="100"/>
        <c:noMultiLvlLbl val="0"/>
      </c:catAx>
      <c:valAx>
        <c:axId val="19646473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6464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 - Copia.xlsx]KPI_P_3!Tabella pivot13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chemeClr val="tx1"/>
                </a:solidFill>
              </a:rPr>
              <a:t>Total</a:t>
            </a:r>
            <a:r>
              <a:rPr lang="en-US" sz="1000" b="1" baseline="0">
                <a:solidFill>
                  <a:schemeClr val="tx1"/>
                </a:solidFill>
              </a:rPr>
              <a:t> sell for Horsepower</a:t>
            </a:r>
            <a:endParaRPr lang="en-US" sz="1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1480537547647532"/>
          <c:y val="2.54237288135593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009988592415348"/>
          <c:y val="0.17122914720405713"/>
          <c:w val="0.63216159817478645"/>
          <c:h val="0.797855618514975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KPI_P_3!$B$3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KPI_P_3!$A$4:$A$9</c:f>
              <c:strCache>
                <c:ptCount val="5"/>
                <c:pt idx="0">
                  <c:v>850</c:v>
                </c:pt>
                <c:pt idx="1">
                  <c:v>769</c:v>
                </c:pt>
                <c:pt idx="2">
                  <c:v>1001</c:v>
                </c:pt>
                <c:pt idx="3">
                  <c:v>631</c:v>
                </c:pt>
                <c:pt idx="4">
                  <c:v>641</c:v>
                </c:pt>
              </c:strCache>
            </c:strRef>
          </c:cat>
          <c:val>
            <c:numRef>
              <c:f>KPI_P_3!$B$4:$B$9</c:f>
              <c:numCache>
                <c:formatCode>General</c:formatCode>
                <c:ptCount val="5"/>
                <c:pt idx="0">
                  <c:v>3850</c:v>
                </c:pt>
                <c:pt idx="1">
                  <c:v>5970</c:v>
                </c:pt>
                <c:pt idx="2">
                  <c:v>8956</c:v>
                </c:pt>
                <c:pt idx="3">
                  <c:v>41481</c:v>
                </c:pt>
                <c:pt idx="4">
                  <c:v>81117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2-42E2-A3D5-708CA54AC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6398016"/>
        <c:axId val="946400416"/>
      </c:barChart>
      <c:catAx>
        <c:axId val="946398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6400416"/>
        <c:crosses val="autoZero"/>
        <c:auto val="1"/>
        <c:lblAlgn val="ctr"/>
        <c:lblOffset val="100"/>
        <c:noMultiLvlLbl val="0"/>
      </c:catAx>
      <c:valAx>
        <c:axId val="9464004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639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 - Copia.xlsx]KPI_V_3!Tabella pivot3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100" b="1">
                <a:solidFill>
                  <a:schemeClr val="tx1"/>
                </a:solidFill>
              </a:rPr>
              <a:t>Sales</a:t>
            </a:r>
            <a:r>
              <a:rPr lang="it-IT" sz="1100" b="1" baseline="0">
                <a:solidFill>
                  <a:schemeClr val="tx1"/>
                </a:solidFill>
              </a:rPr>
              <a:t> and Revenue for Models</a:t>
            </a:r>
            <a:endParaRPr lang="it-IT" sz="11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4208781631303722"/>
          <c:y val="2.2272611817950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002060">
                <a:alpha val="98000"/>
              </a:srgbClr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002060">
                <a:alpha val="98000"/>
              </a:srgbClr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002060">
                <a:alpha val="98000"/>
              </a:srgbClr>
            </a:solidFill>
            <a:prstDash val="lgDash"/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211095750435777"/>
          <c:y val="0.12646546747638951"/>
          <c:w val="0.65577507964176251"/>
          <c:h val="0.843181471817489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KPI_V_3!$B$3</c:f>
              <c:strCache>
                <c:ptCount val="1"/>
                <c:pt idx="0">
                  <c:v>Sales_Volume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KPI_V_3!$A$4:$A$10</c:f>
              <c:strCache>
                <c:ptCount val="6"/>
                <c:pt idx="0">
                  <c:v>Huracán (Temerario)</c:v>
                </c:pt>
                <c:pt idx="1">
                  <c:v>Aventador</c:v>
                </c:pt>
                <c:pt idx="2">
                  <c:v>Revuelto</c:v>
                </c:pt>
                <c:pt idx="3">
                  <c:v>Urus SE</c:v>
                </c:pt>
                <c:pt idx="4">
                  <c:v>Huracán</c:v>
                </c:pt>
                <c:pt idx="5">
                  <c:v>Urus</c:v>
                </c:pt>
              </c:strCache>
            </c:strRef>
          </c:cat>
          <c:val>
            <c:numRef>
              <c:f>KPI_V_3!$B$4:$B$10</c:f>
              <c:numCache>
                <c:formatCode>General</c:formatCode>
                <c:ptCount val="6"/>
                <c:pt idx="0">
                  <c:v>3850</c:v>
                </c:pt>
                <c:pt idx="1">
                  <c:v>5970</c:v>
                </c:pt>
                <c:pt idx="2">
                  <c:v>8956</c:v>
                </c:pt>
                <c:pt idx="3">
                  <c:v>26812</c:v>
                </c:pt>
                <c:pt idx="4">
                  <c:v>41481</c:v>
                </c:pt>
                <c:pt idx="5">
                  <c:v>54305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BF-4EBA-9515-D1EA0F9B3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66367871"/>
        <c:axId val="1666366431"/>
      </c:barChart>
      <c:lineChart>
        <c:grouping val="standard"/>
        <c:varyColors val="0"/>
        <c:ser>
          <c:idx val="1"/>
          <c:order val="1"/>
          <c:tx>
            <c:strRef>
              <c:f>KPI_V_3!$C$3</c:f>
              <c:strCache>
                <c:ptCount val="1"/>
                <c:pt idx="0">
                  <c:v>Somma di Ricavi</c:v>
                </c:pt>
              </c:strCache>
            </c:strRef>
          </c:tx>
          <c:spPr>
            <a:ln w="28575" cap="rnd">
              <a:solidFill>
                <a:srgbClr val="002060">
                  <a:alpha val="98000"/>
                </a:srgbClr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KPI_V_3!$A$4:$A$10</c:f>
              <c:strCache>
                <c:ptCount val="6"/>
                <c:pt idx="0">
                  <c:v>Huracán (Temerario)</c:v>
                </c:pt>
                <c:pt idx="1">
                  <c:v>Aventador</c:v>
                </c:pt>
                <c:pt idx="2">
                  <c:v>Revuelto</c:v>
                </c:pt>
                <c:pt idx="3">
                  <c:v>Urus SE</c:v>
                </c:pt>
                <c:pt idx="4">
                  <c:v>Huracán</c:v>
                </c:pt>
                <c:pt idx="5">
                  <c:v>Urus</c:v>
                </c:pt>
              </c:strCache>
            </c:strRef>
          </c:cat>
          <c:val>
            <c:numRef>
              <c:f>KPI_V_3!$C$4:$C$10</c:f>
              <c:numCache>
                <c:formatCode>#,##0,," mln"</c:formatCode>
                <c:ptCount val="6"/>
                <c:pt idx="0">
                  <c:v>1482750000</c:v>
                </c:pt>
                <c:pt idx="1">
                  <c:v>3380955000</c:v>
                </c:pt>
                <c:pt idx="2">
                  <c:v>4827000000</c:v>
                </c:pt>
                <c:pt idx="3">
                  <c:v>8618850000</c:v>
                </c:pt>
                <c:pt idx="4">
                  <c:v>11602560000</c:v>
                </c:pt>
                <c:pt idx="5">
                  <c:v>13277465000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BF-4EBA-9515-D1EA0F9B3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997856"/>
        <c:axId val="865008416"/>
      </c:lineChart>
      <c:catAx>
        <c:axId val="1666367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66366431"/>
        <c:crosses val="autoZero"/>
        <c:auto val="1"/>
        <c:lblAlgn val="ctr"/>
        <c:lblOffset val="100"/>
        <c:noMultiLvlLbl val="0"/>
      </c:catAx>
      <c:valAx>
        <c:axId val="16663664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66367871"/>
        <c:crosses val="autoZero"/>
        <c:crossBetween val="between"/>
      </c:valAx>
      <c:valAx>
        <c:axId val="865008416"/>
        <c:scaling>
          <c:orientation val="minMax"/>
        </c:scaling>
        <c:delete val="1"/>
        <c:axPos val="r"/>
        <c:numFmt formatCode="#,##0,,&quot; mln&quot;" sourceLinked="1"/>
        <c:majorTickMark val="out"/>
        <c:minorTickMark val="none"/>
        <c:tickLblPos val="nextTo"/>
        <c:crossAx val="864997856"/>
        <c:crosses val="max"/>
        <c:crossBetween val="between"/>
      </c:valAx>
      <c:catAx>
        <c:axId val="864997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65008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 - Copia.xlsx]KPI_R_4!Tabella pivot10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chemeClr val="tx1"/>
                </a:solidFill>
              </a:rPr>
              <a:t>Average Base Price</a:t>
            </a:r>
            <a:r>
              <a:rPr lang="en-US" sz="1050" b="1" baseline="0">
                <a:solidFill>
                  <a:schemeClr val="tx1"/>
                </a:solidFill>
              </a:rPr>
              <a:t> for Models</a:t>
            </a:r>
            <a:endParaRPr lang="en-US" sz="105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2760332130545011"/>
          <c:y val="3.44826874806588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6239252035573915E-2"/>
          <c:y val="0.26568992194752949"/>
          <c:w val="0.92212389380530968"/>
          <c:h val="0.423074938908498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KPI_R_4!$B$1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KPI_R_4!$A$2:$A$8</c:f>
              <c:strCache>
                <c:ptCount val="6"/>
                <c:pt idx="0">
                  <c:v>Aventador</c:v>
                </c:pt>
                <c:pt idx="1">
                  <c:v>Revuelto</c:v>
                </c:pt>
                <c:pt idx="2">
                  <c:v>Huracán (Temerario)</c:v>
                </c:pt>
                <c:pt idx="3">
                  <c:v>Urus SE</c:v>
                </c:pt>
                <c:pt idx="4">
                  <c:v>Huracán</c:v>
                </c:pt>
                <c:pt idx="5">
                  <c:v>Urus</c:v>
                </c:pt>
              </c:strCache>
            </c:strRef>
          </c:cat>
          <c:val>
            <c:numRef>
              <c:f>KPI_R_4!$B$2:$B$8</c:f>
              <c:numCache>
                <c:formatCode>General</c:formatCode>
                <c:ptCount val="6"/>
                <c:pt idx="0">
                  <c:v>570000</c:v>
                </c:pt>
                <c:pt idx="1">
                  <c:v>535000</c:v>
                </c:pt>
                <c:pt idx="2">
                  <c:v>385000</c:v>
                </c:pt>
                <c:pt idx="3">
                  <c:v>322500</c:v>
                </c:pt>
                <c:pt idx="4">
                  <c:v>278000</c:v>
                </c:pt>
                <c:pt idx="5">
                  <c:v>243750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4-49FE-BEEE-4AF9002231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2847727"/>
        <c:axId val="1812848687"/>
      </c:barChart>
      <c:catAx>
        <c:axId val="181284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12848687"/>
        <c:crosses val="autoZero"/>
        <c:auto val="1"/>
        <c:lblAlgn val="ctr"/>
        <c:lblOffset val="100"/>
        <c:noMultiLvlLbl val="0"/>
      </c:catAx>
      <c:valAx>
        <c:axId val="18128486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12847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 - Copia.xlsx]YOY!Tabella pivot1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>
                <a:solidFill>
                  <a:schemeClr val="tx1"/>
                </a:solidFill>
              </a:rPr>
              <a:t>YOY</a:t>
            </a:r>
          </a:p>
        </c:rich>
      </c:tx>
      <c:layout>
        <c:manualLayout>
          <c:xMode val="edge"/>
          <c:yMode val="edge"/>
          <c:x val="8.5278272104531844E-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tx1"/>
            </a:solidFill>
            <a:round/>
          </a:ln>
          <a:effectLst>
            <a:softEdge rad="0"/>
          </a:effectLst>
        </c:spPr>
        <c:marker>
          <c:symbol val="none"/>
        </c:marker>
        <c:dLbl>
          <c:idx val="0"/>
          <c:numFmt formatCode="0%" sourceLinked="0"/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622291021671827E-2"/>
          <c:y val="4.3436351706036748E-2"/>
          <c:w val="0.8127554179566564"/>
          <c:h val="0.77390879265091883"/>
        </c:manualLayout>
      </c:layout>
      <c:lineChart>
        <c:grouping val="standard"/>
        <c:varyColors val="0"/>
        <c:ser>
          <c:idx val="0"/>
          <c:order val="0"/>
          <c:tx>
            <c:strRef>
              <c:f>YOY!$B$3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>
              <a:softEdge rad="0"/>
            </a:effectLst>
          </c:spPr>
          <c:marker>
            <c:symbol val="none"/>
          </c:marker>
          <c:dLbls>
            <c:numFmt formatCode="0%" sourceLinked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YOY!$A$4:$A$10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YOY!$B$4:$B$10</c:f>
              <c:numCache>
                <c:formatCode>0.00%</c:formatCode>
                <c:ptCount val="6"/>
                <c:pt idx="1">
                  <c:v>0.12194368507381083</c:v>
                </c:pt>
                <c:pt idx="2">
                  <c:v>0.11356125342241563</c:v>
                </c:pt>
                <c:pt idx="3">
                  <c:v>1.5240255572412183E-2</c:v>
                </c:pt>
                <c:pt idx="4">
                  <c:v>0.33283522578281316</c:v>
                </c:pt>
                <c:pt idx="5">
                  <c:v>-8.8463901855305574E-2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52B-4055-9DD6-8C73E68B9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240975"/>
        <c:axId val="523945536"/>
      </c:lineChart>
      <c:catAx>
        <c:axId val="180724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945536"/>
        <c:crosses val="autoZero"/>
        <c:auto val="1"/>
        <c:lblAlgn val="ctr"/>
        <c:lblOffset val="600"/>
        <c:noMultiLvlLbl val="0"/>
      </c:catAx>
      <c:valAx>
        <c:axId val="52394553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807240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 - Copia.xlsx]KPI_V_2!Tabella pivot2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  <a:latin typeface="Arial Nova Cond" panose="020B0506020202020204" pitchFamily="34" charset="0"/>
              </a:rPr>
              <a:t>Total</a:t>
            </a:r>
            <a:r>
              <a:rPr lang="en-US" baseline="0">
                <a:solidFill>
                  <a:schemeClr val="tx1"/>
                </a:solidFill>
                <a:latin typeface="Arial Nova Cond" panose="020B0506020202020204" pitchFamily="34" charset="0"/>
              </a:rPr>
              <a:t> Sales Volume</a:t>
            </a:r>
            <a:endParaRPr lang="en-US">
              <a:solidFill>
                <a:schemeClr val="tx1"/>
              </a:solidFill>
              <a:latin typeface="Arial Nova Cond" panose="020B0506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KPI_V_2!$B$1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KPI_V_2!$A$2:$A$8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KPI_V_2!$B$2:$B$8</c:f>
              <c:numCache>
                <c:formatCode>General</c:formatCode>
                <c:ptCount val="6"/>
                <c:pt idx="0">
                  <c:v>20250</c:v>
                </c:pt>
                <c:pt idx="1">
                  <c:v>21925</c:v>
                </c:pt>
                <c:pt idx="2">
                  <c:v>24243</c:v>
                </c:pt>
                <c:pt idx="3">
                  <c:v>25838</c:v>
                </c:pt>
                <c:pt idx="4">
                  <c:v>27918</c:v>
                </c:pt>
                <c:pt idx="5">
                  <c:v>21200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1-4ACB-9CCD-DC705D8946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9251967"/>
        <c:axId val="169251487"/>
      </c:barChart>
      <c:catAx>
        <c:axId val="16925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9251487"/>
        <c:crosses val="autoZero"/>
        <c:auto val="1"/>
        <c:lblAlgn val="ctr"/>
        <c:lblOffset val="100"/>
        <c:noMultiLvlLbl val="0"/>
      </c:catAx>
      <c:valAx>
        <c:axId val="1692514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925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 - Copia.xlsx]KPI_V_2!Tabella pivot2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KPI_V_2!$B$1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KPI_V_2!$A$2:$A$8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strCache>
            </c:strRef>
          </c:cat>
          <c:val>
            <c:numRef>
              <c:f>KPI_V_2!$B$2:$B$8</c:f>
              <c:numCache>
                <c:formatCode>General</c:formatCode>
                <c:ptCount val="6"/>
                <c:pt idx="0">
                  <c:v>20250</c:v>
                </c:pt>
                <c:pt idx="1">
                  <c:v>21925</c:v>
                </c:pt>
                <c:pt idx="2">
                  <c:v>24243</c:v>
                </c:pt>
                <c:pt idx="3">
                  <c:v>25838</c:v>
                </c:pt>
                <c:pt idx="4">
                  <c:v>27918</c:v>
                </c:pt>
                <c:pt idx="5">
                  <c:v>21200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12-4F47-AF53-DD7BC2353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5822544"/>
        <c:axId val="525836464"/>
      </c:lineChart>
      <c:catAx>
        <c:axId val="52582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5836464"/>
        <c:crosses val="autoZero"/>
        <c:auto val="1"/>
        <c:lblAlgn val="ctr"/>
        <c:lblOffset val="100"/>
        <c:noMultiLvlLbl val="0"/>
      </c:catAx>
      <c:valAx>
        <c:axId val="52583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582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 - Copia.xlsx]KPI_V_3!Tabella pivot3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KPI_V_3!$B$3</c:f>
              <c:strCache>
                <c:ptCount val="1"/>
                <c:pt idx="0">
                  <c:v>Sales_Volume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KPI_V_3!$A$4:$A$10</c:f>
              <c:strCache>
                <c:ptCount val="6"/>
                <c:pt idx="0">
                  <c:v>Huracán (Temerario)</c:v>
                </c:pt>
                <c:pt idx="1">
                  <c:v>Aventador</c:v>
                </c:pt>
                <c:pt idx="2">
                  <c:v>Revuelto</c:v>
                </c:pt>
                <c:pt idx="3">
                  <c:v>Urus SE</c:v>
                </c:pt>
                <c:pt idx="4">
                  <c:v>Huracán</c:v>
                </c:pt>
                <c:pt idx="5">
                  <c:v>Urus</c:v>
                </c:pt>
              </c:strCache>
            </c:strRef>
          </c:cat>
          <c:val>
            <c:numRef>
              <c:f>KPI_V_3!$B$4:$B$10</c:f>
              <c:numCache>
                <c:formatCode>General</c:formatCode>
                <c:ptCount val="6"/>
                <c:pt idx="0">
                  <c:v>3850</c:v>
                </c:pt>
                <c:pt idx="1">
                  <c:v>5970</c:v>
                </c:pt>
                <c:pt idx="2">
                  <c:v>8956</c:v>
                </c:pt>
                <c:pt idx="3">
                  <c:v>26812</c:v>
                </c:pt>
                <c:pt idx="4">
                  <c:v>41481</c:v>
                </c:pt>
                <c:pt idx="5">
                  <c:v>54305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8-4E58-9199-6C16CEBA1353}"/>
            </c:ext>
          </c:extLst>
        </c:ser>
        <c:ser>
          <c:idx val="1"/>
          <c:order val="1"/>
          <c:tx>
            <c:strRef>
              <c:f>KPI_V_3!$C$3</c:f>
              <c:strCache>
                <c:ptCount val="1"/>
                <c:pt idx="0">
                  <c:v>Somma di Ricavi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KPI_V_3!$A$4:$A$10</c:f>
              <c:strCache>
                <c:ptCount val="6"/>
                <c:pt idx="0">
                  <c:v>Huracán (Temerario)</c:v>
                </c:pt>
                <c:pt idx="1">
                  <c:v>Aventador</c:v>
                </c:pt>
                <c:pt idx="2">
                  <c:v>Revuelto</c:v>
                </c:pt>
                <c:pt idx="3">
                  <c:v>Urus SE</c:v>
                </c:pt>
                <c:pt idx="4">
                  <c:v>Huracán</c:v>
                </c:pt>
                <c:pt idx="5">
                  <c:v>Urus</c:v>
                </c:pt>
              </c:strCache>
            </c:strRef>
          </c:cat>
          <c:val>
            <c:numRef>
              <c:f>KPI_V_3!$C$4:$C$10</c:f>
              <c:numCache>
                <c:formatCode>#,##0,," mln"</c:formatCode>
                <c:ptCount val="6"/>
                <c:pt idx="0">
                  <c:v>1482750000</c:v>
                </c:pt>
                <c:pt idx="1">
                  <c:v>3380955000</c:v>
                </c:pt>
                <c:pt idx="2">
                  <c:v>4827000000</c:v>
                </c:pt>
                <c:pt idx="3">
                  <c:v>8618850000</c:v>
                </c:pt>
                <c:pt idx="4">
                  <c:v>11602560000</c:v>
                </c:pt>
                <c:pt idx="5">
                  <c:v>13277465000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F-41D8-87CC-FF3BA8CE7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2962191"/>
        <c:axId val="282959791"/>
      </c:barChart>
      <c:catAx>
        <c:axId val="282962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82959791"/>
        <c:crosses val="autoZero"/>
        <c:auto val="1"/>
        <c:lblAlgn val="ctr"/>
        <c:lblOffset val="100"/>
        <c:noMultiLvlLbl val="0"/>
      </c:catAx>
      <c:valAx>
        <c:axId val="28295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8296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 - Copia.xlsx]KPI_V_3!Tabella pivot3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Sales</a:t>
            </a:r>
            <a:r>
              <a:rPr lang="it-IT" baseline="0"/>
              <a:t> and Revenue for Models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bg1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002060">
                <a:alpha val="98000"/>
              </a:srgbClr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KPI_V_3!$B$3</c:f>
              <c:strCache>
                <c:ptCount val="1"/>
                <c:pt idx="0">
                  <c:v>Sales_Volume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KPI_V_3!$A$4:$A$10</c:f>
              <c:strCache>
                <c:ptCount val="6"/>
                <c:pt idx="0">
                  <c:v>Huracán (Temerario)</c:v>
                </c:pt>
                <c:pt idx="1">
                  <c:v>Aventador</c:v>
                </c:pt>
                <c:pt idx="2">
                  <c:v>Revuelto</c:v>
                </c:pt>
                <c:pt idx="3">
                  <c:v>Urus SE</c:v>
                </c:pt>
                <c:pt idx="4">
                  <c:v>Huracán</c:v>
                </c:pt>
                <c:pt idx="5">
                  <c:v>Urus</c:v>
                </c:pt>
              </c:strCache>
            </c:strRef>
          </c:cat>
          <c:val>
            <c:numRef>
              <c:f>KPI_V_3!$B$4:$B$10</c:f>
              <c:numCache>
                <c:formatCode>General</c:formatCode>
                <c:ptCount val="6"/>
                <c:pt idx="0">
                  <c:v>3850</c:v>
                </c:pt>
                <c:pt idx="1">
                  <c:v>5970</c:v>
                </c:pt>
                <c:pt idx="2">
                  <c:v>8956</c:v>
                </c:pt>
                <c:pt idx="3">
                  <c:v>26812</c:v>
                </c:pt>
                <c:pt idx="4">
                  <c:v>41481</c:v>
                </c:pt>
                <c:pt idx="5">
                  <c:v>54305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B9-4963-82C3-754699A94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66367871"/>
        <c:axId val="1666366431"/>
      </c:barChart>
      <c:lineChart>
        <c:grouping val="standard"/>
        <c:varyColors val="0"/>
        <c:ser>
          <c:idx val="1"/>
          <c:order val="1"/>
          <c:tx>
            <c:strRef>
              <c:f>KPI_V_3!$C$3</c:f>
              <c:strCache>
                <c:ptCount val="1"/>
                <c:pt idx="0">
                  <c:v>Somma di Ricavi</c:v>
                </c:pt>
              </c:strCache>
            </c:strRef>
          </c:tx>
          <c:spPr>
            <a:ln w="28575" cap="rnd">
              <a:solidFill>
                <a:srgbClr val="002060">
                  <a:alpha val="98000"/>
                </a:srgbClr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KPI_V_3!$A$4:$A$10</c:f>
              <c:strCache>
                <c:ptCount val="6"/>
                <c:pt idx="0">
                  <c:v>Huracán (Temerario)</c:v>
                </c:pt>
                <c:pt idx="1">
                  <c:v>Aventador</c:v>
                </c:pt>
                <c:pt idx="2">
                  <c:v>Revuelto</c:v>
                </c:pt>
                <c:pt idx="3">
                  <c:v>Urus SE</c:v>
                </c:pt>
                <c:pt idx="4">
                  <c:v>Huracán</c:v>
                </c:pt>
                <c:pt idx="5">
                  <c:v>Urus</c:v>
                </c:pt>
              </c:strCache>
            </c:strRef>
          </c:cat>
          <c:val>
            <c:numRef>
              <c:f>KPI_V_3!$C$4:$C$10</c:f>
              <c:numCache>
                <c:formatCode>#,##0,," mln"</c:formatCode>
                <c:ptCount val="6"/>
                <c:pt idx="0">
                  <c:v>1482750000</c:v>
                </c:pt>
                <c:pt idx="1">
                  <c:v>3380955000</c:v>
                </c:pt>
                <c:pt idx="2">
                  <c:v>4827000000</c:v>
                </c:pt>
                <c:pt idx="3">
                  <c:v>8618850000</c:v>
                </c:pt>
                <c:pt idx="4">
                  <c:v>11602560000</c:v>
                </c:pt>
                <c:pt idx="5">
                  <c:v>13277465000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B9-4963-82C3-754699A94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4997856"/>
        <c:axId val="865008416"/>
      </c:lineChart>
      <c:catAx>
        <c:axId val="1666367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66366431"/>
        <c:crosses val="autoZero"/>
        <c:auto val="1"/>
        <c:lblAlgn val="ctr"/>
        <c:lblOffset val="100"/>
        <c:noMultiLvlLbl val="0"/>
      </c:catAx>
      <c:valAx>
        <c:axId val="16663664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66367871"/>
        <c:crosses val="autoZero"/>
        <c:crossBetween val="between"/>
      </c:valAx>
      <c:valAx>
        <c:axId val="865008416"/>
        <c:scaling>
          <c:orientation val="minMax"/>
        </c:scaling>
        <c:delete val="0"/>
        <c:axPos val="r"/>
        <c:numFmt formatCode="#,##0,,&quot; mln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64997856"/>
        <c:crosses val="max"/>
        <c:crossBetween val="between"/>
      </c:valAx>
      <c:catAx>
        <c:axId val="864997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65008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 - Copia.xlsx]KPI_R_2!Tabella pivot8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KPI_R_2!$B$1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KPI_R_2!$A$2:$A$8</c:f>
              <c:strCache>
                <c:ptCount val="6"/>
                <c:pt idx="0">
                  <c:v>Huracán (Temerario)</c:v>
                </c:pt>
                <c:pt idx="1">
                  <c:v>Aventador</c:v>
                </c:pt>
                <c:pt idx="2">
                  <c:v>Revuelto</c:v>
                </c:pt>
                <c:pt idx="3">
                  <c:v>Urus SE</c:v>
                </c:pt>
                <c:pt idx="4">
                  <c:v>Huracán</c:v>
                </c:pt>
                <c:pt idx="5">
                  <c:v>Urus</c:v>
                </c:pt>
              </c:strCache>
            </c:strRef>
          </c:cat>
          <c:val>
            <c:numRef>
              <c:f>KPI_R_2!$B$2:$B$8</c:f>
              <c:numCache>
                <c:formatCode>#,##0,," mln"</c:formatCode>
                <c:ptCount val="6"/>
                <c:pt idx="0">
                  <c:v>1482750000</c:v>
                </c:pt>
                <c:pt idx="1">
                  <c:v>3380955000</c:v>
                </c:pt>
                <c:pt idx="2">
                  <c:v>4827000000</c:v>
                </c:pt>
                <c:pt idx="3">
                  <c:v>8618850000</c:v>
                </c:pt>
                <c:pt idx="4">
                  <c:v>11602560000</c:v>
                </c:pt>
                <c:pt idx="5">
                  <c:v>13277465000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4-4E3A-BCF2-0584A113F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6913999"/>
        <c:axId val="306920239"/>
      </c:barChart>
      <c:catAx>
        <c:axId val="306913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06920239"/>
        <c:crosses val="autoZero"/>
        <c:auto val="1"/>
        <c:lblAlgn val="ctr"/>
        <c:lblOffset val="100"/>
        <c:noMultiLvlLbl val="0"/>
      </c:catAx>
      <c:valAx>
        <c:axId val="30692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,,&quot; mln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0691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 - Copia.xlsx]KPI_R_3!Tabella pivot9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KPI_R_3!$B$1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37-404F-A682-53B05068CE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37-404F-A682-53B05068CE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37-404F-A682-53B05068CEF2}"/>
              </c:ext>
            </c:extLst>
          </c:dPt>
          <c:cat>
            <c:strRef>
              <c:f>KPI_R_3!$A$2:$A$5</c:f>
              <c:strCache>
                <c:ptCount val="3"/>
                <c:pt idx="0">
                  <c:v>Americas</c:v>
                </c:pt>
                <c:pt idx="1">
                  <c:v>APAC</c:v>
                </c:pt>
                <c:pt idx="2">
                  <c:v>EMEA</c:v>
                </c:pt>
              </c:strCache>
            </c:strRef>
          </c:cat>
          <c:val>
            <c:numRef>
              <c:f>KPI_R_3!$B$2:$B$5</c:f>
              <c:numCache>
                <c:formatCode>#,##0,," mln"</c:formatCode>
                <c:ptCount val="3"/>
                <c:pt idx="0">
                  <c:v>17224970000</c:v>
                </c:pt>
                <c:pt idx="1">
                  <c:v>10002955000</c:v>
                </c:pt>
                <c:pt idx="2">
                  <c:v>15961655000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0-4F61-99C7-599FA4CB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[Dashboard_Lamborghini_final - Copia.xlsx]KPI_R_4!Tabella pivot10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Base Price</a:t>
            </a:r>
            <a:r>
              <a:rPr lang="en-US" baseline="0"/>
              <a:t> for Models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KPI_R_4!$B$1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KPI_R_4!$A$2:$A$8</c:f>
              <c:strCache>
                <c:ptCount val="6"/>
                <c:pt idx="0">
                  <c:v>Aventador</c:v>
                </c:pt>
                <c:pt idx="1">
                  <c:v>Revuelto</c:v>
                </c:pt>
                <c:pt idx="2">
                  <c:v>Huracán (Temerario)</c:v>
                </c:pt>
                <c:pt idx="3">
                  <c:v>Urus SE</c:v>
                </c:pt>
                <c:pt idx="4">
                  <c:v>Huracán</c:v>
                </c:pt>
                <c:pt idx="5">
                  <c:v>Urus</c:v>
                </c:pt>
              </c:strCache>
            </c:strRef>
          </c:cat>
          <c:val>
            <c:numRef>
              <c:f>KPI_R_4!$B$2:$B$8</c:f>
              <c:numCache>
                <c:formatCode>General</c:formatCode>
                <c:ptCount val="6"/>
                <c:pt idx="0">
                  <c:v>570000</c:v>
                </c:pt>
                <c:pt idx="1">
                  <c:v>535000</c:v>
                </c:pt>
                <c:pt idx="2">
                  <c:v>385000</c:v>
                </c:pt>
                <c:pt idx="3">
                  <c:v>322500</c:v>
                </c:pt>
                <c:pt idx="4">
                  <c:v>278000</c:v>
                </c:pt>
                <c:pt idx="5">
                  <c:v>243750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4-4F6B-B5D2-235AE38C3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2847727"/>
        <c:axId val="1812848687"/>
      </c:barChart>
      <c:catAx>
        <c:axId val="181284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12848687"/>
        <c:crosses val="autoZero"/>
        <c:auto val="1"/>
        <c:lblAlgn val="ctr"/>
        <c:lblOffset val="100"/>
        <c:noMultiLvlLbl val="0"/>
      </c:catAx>
      <c:valAx>
        <c:axId val="18128486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12847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520700</xdr:colOff>
      <xdr:row>5</xdr:row>
      <xdr:rowOff>158750</xdr:rowOff>
    </xdr:from>
    <xdr:to>
      <xdr:col>12</xdr:col>
      <xdr:colOff>215900</xdr:colOff>
      <xdr:row>20</xdr:row>
      <xdr:rowOff>139700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40045E5-CAF3-12D5-C75B-36D9322646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2</xdr:row>
      <xdr:rowOff>82550</xdr:rowOff>
    </xdr:from>
    <xdr:to>
      <xdr:col>11</xdr:col>
      <xdr:colOff>9525</xdr:colOff>
      <xdr:row>17</xdr:row>
      <xdr:rowOff>63500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243FB18-92E0-EAC4-00D6-221E52522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2</xdr:row>
      <xdr:rowOff>82550</xdr:rowOff>
    </xdr:from>
    <xdr:to>
      <xdr:col>11</xdr:col>
      <xdr:colOff>9525</xdr:colOff>
      <xdr:row>17</xdr:row>
      <xdr:rowOff>63500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DA302B51-3EA8-AB76-DC5B-62322DC60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358775</xdr:colOff>
      <xdr:row>1</xdr:row>
      <xdr:rowOff>127000</xdr:rowOff>
    </xdr:from>
    <xdr:to>
      <xdr:col>11</xdr:col>
      <xdr:colOff>53975</xdr:colOff>
      <xdr:row>16</xdr:row>
      <xdr:rowOff>107950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CFD7B60-69D7-FB3A-4247-AF9AA9B23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3175</xdr:colOff>
      <xdr:row>2</xdr:row>
      <xdr:rowOff>82550</xdr:rowOff>
    </xdr:from>
    <xdr:to>
      <xdr:col>9</xdr:col>
      <xdr:colOff>307975</xdr:colOff>
      <xdr:row>17</xdr:row>
      <xdr:rowOff>63500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469B74B-B441-786C-4E26-2704EB9F8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276224</xdr:colOff>
      <xdr:row>1</xdr:row>
      <xdr:rowOff>50800</xdr:rowOff>
    </xdr:from>
    <xdr:to>
      <xdr:col>12</xdr:col>
      <xdr:colOff>431799</xdr:colOff>
      <xdr:row>16</xdr:row>
      <xdr:rowOff>133350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513C4A72-C646-29F3-E00D-4C12ED89B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0</xdr:row>
      <xdr:rowOff>82550</xdr:rowOff>
    </xdr:from>
    <xdr:to>
      <xdr:col>7</xdr:col>
      <xdr:colOff>412750</xdr:colOff>
      <xdr:row>4</xdr:row>
      <xdr:rowOff>44450</xdr:rowOff>
    </xdr:to>
    <xdr:sp macro="" textlink="">
      <xdr:nvSpPr>
        <xdr:cNvPr id="3" name="Rettangolo con angoli arrotondati 2">
          <a:extLst>
            <a:ext uri="{FF2B5EF4-FFF2-40B4-BE49-F238E27FC236}">
              <a16:creationId xmlns:a16="http://schemas.microsoft.com/office/drawing/2014/main" id="{F63ACE69-8888-4A2D-8F3C-FC7C3F8EF5D6}"/>
            </a:ext>
          </a:extLst>
        </xdr:cNvPr>
        <xdr:cNvSpPr/>
      </xdr:nvSpPr>
      <xdr:spPr>
        <a:xfrm>
          <a:off x="1352550" y="82550"/>
          <a:ext cx="3327400" cy="698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1100">
              <a:solidFill>
                <a:schemeClr val="tx1"/>
              </a:solidFill>
              <a:latin typeface="Arial Nova Cond" panose="020B0506020202020204" pitchFamily="34" charset="0"/>
            </a:rPr>
            <a:t>DASHBOARD</a:t>
          </a:r>
          <a:r>
            <a:rPr lang="it-IT" sz="1100" baseline="0">
              <a:solidFill>
                <a:schemeClr val="tx1"/>
              </a:solidFill>
              <a:latin typeface="Arial Nova Cond" panose="020B0506020202020204" pitchFamily="34" charset="0"/>
            </a:rPr>
            <a:t> NAME WITH DESCRIPTION</a:t>
          </a:r>
          <a:endParaRPr lang="it-IT" sz="1100">
            <a:solidFill>
              <a:schemeClr val="tx1"/>
            </a:solidFill>
            <a:latin typeface="Arial Nova Cond" panose="020B0506020202020204" pitchFamily="34" charset="0"/>
          </a:endParaRPr>
        </a:p>
      </xdr:txBody>
    </xdr:sp>
    <xdr:clientData/>
  </xdr:twoCellAnchor>
  <xdr:twoCellAnchor>
    <xdr:from>
      <xdr:col>2</xdr:col>
      <xdr:colOff>133350</xdr:colOff>
      <xdr:row>4</xdr:row>
      <xdr:rowOff>152400</xdr:rowOff>
    </xdr:from>
    <xdr:to>
      <xdr:col>4</xdr:col>
      <xdr:colOff>400050</xdr:colOff>
      <xdr:row>8</xdr:row>
      <xdr:rowOff>0</xdr:rowOff>
    </xdr:to>
    <xdr:sp macro="" textlink="">
      <xdr:nvSpPr>
        <xdr:cNvPr id="4" name="Rettangolo con angoli arrotondati 3">
          <a:extLst>
            <a:ext uri="{FF2B5EF4-FFF2-40B4-BE49-F238E27FC236}">
              <a16:creationId xmlns:a16="http://schemas.microsoft.com/office/drawing/2014/main" id="{80C6E498-CDB2-4672-A41E-026732AFD235}"/>
            </a:ext>
          </a:extLst>
        </xdr:cNvPr>
        <xdr:cNvSpPr/>
      </xdr:nvSpPr>
      <xdr:spPr>
        <a:xfrm>
          <a:off x="1352550" y="889000"/>
          <a:ext cx="1485900" cy="5842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b="1">
              <a:solidFill>
                <a:schemeClr val="tx2"/>
              </a:solidFill>
            </a:rPr>
            <a:t>KPI_V_1</a:t>
          </a:r>
        </a:p>
      </xdr:txBody>
    </xdr:sp>
    <xdr:clientData/>
  </xdr:twoCellAnchor>
  <xdr:twoCellAnchor>
    <xdr:from>
      <xdr:col>4</xdr:col>
      <xdr:colOff>603250</xdr:colOff>
      <xdr:row>4</xdr:row>
      <xdr:rowOff>171450</xdr:rowOff>
    </xdr:from>
    <xdr:to>
      <xdr:col>7</xdr:col>
      <xdr:colOff>260350</xdr:colOff>
      <xdr:row>8</xdr:row>
      <xdr:rowOff>19050</xdr:rowOff>
    </xdr:to>
    <xdr:sp macro="" textlink="">
      <xdr:nvSpPr>
        <xdr:cNvPr id="5" name="Rettangolo con angoli arrotondati 4">
          <a:extLst>
            <a:ext uri="{FF2B5EF4-FFF2-40B4-BE49-F238E27FC236}">
              <a16:creationId xmlns:a16="http://schemas.microsoft.com/office/drawing/2014/main" id="{ECD1B1A7-2955-47F6-93B6-02B26AFC899E}"/>
            </a:ext>
          </a:extLst>
        </xdr:cNvPr>
        <xdr:cNvSpPr/>
      </xdr:nvSpPr>
      <xdr:spPr>
        <a:xfrm>
          <a:off x="3041650" y="908050"/>
          <a:ext cx="1485900" cy="5842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1100" b="1">
              <a:solidFill>
                <a:schemeClr val="tx1"/>
              </a:solidFill>
            </a:rPr>
            <a:t>KPI_R_1</a:t>
          </a:r>
        </a:p>
      </xdr:txBody>
    </xdr:sp>
    <xdr:clientData/>
  </xdr:twoCellAnchor>
  <xdr:twoCellAnchor>
    <xdr:from>
      <xdr:col>11</xdr:col>
      <xdr:colOff>133350</xdr:colOff>
      <xdr:row>0</xdr:row>
      <xdr:rowOff>69850</xdr:rowOff>
    </xdr:from>
    <xdr:to>
      <xdr:col>16</xdr:col>
      <xdr:colOff>577850</xdr:colOff>
      <xdr:row>8</xdr:row>
      <xdr:rowOff>44450</xdr:rowOff>
    </xdr:to>
    <xdr:sp macro="" textlink="">
      <xdr:nvSpPr>
        <xdr:cNvPr id="6" name="Rettangolo con angoli arrotondati 5">
          <a:extLst>
            <a:ext uri="{FF2B5EF4-FFF2-40B4-BE49-F238E27FC236}">
              <a16:creationId xmlns:a16="http://schemas.microsoft.com/office/drawing/2014/main" id="{F853EC8F-1234-4A7A-B923-C0454C5FA663}"/>
            </a:ext>
          </a:extLst>
        </xdr:cNvPr>
        <xdr:cNvSpPr/>
      </xdr:nvSpPr>
      <xdr:spPr>
        <a:xfrm>
          <a:off x="6838950" y="69850"/>
          <a:ext cx="3492500" cy="14478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1100" b="1">
              <a:solidFill>
                <a:schemeClr val="tx1"/>
              </a:solidFill>
            </a:rPr>
            <a:t>KPI_R_4</a:t>
          </a:r>
        </a:p>
      </xdr:txBody>
    </xdr:sp>
    <xdr:clientData/>
  </xdr:twoCellAnchor>
  <xdr:twoCellAnchor>
    <xdr:from>
      <xdr:col>2</xdr:col>
      <xdr:colOff>101600</xdr:colOff>
      <xdr:row>8</xdr:row>
      <xdr:rowOff>114300</xdr:rowOff>
    </xdr:from>
    <xdr:to>
      <xdr:col>6</xdr:col>
      <xdr:colOff>323850</xdr:colOff>
      <xdr:row>20</xdr:row>
      <xdr:rowOff>107950</xdr:rowOff>
    </xdr:to>
    <xdr:sp macro="" textlink="">
      <xdr:nvSpPr>
        <xdr:cNvPr id="7" name="Rettangolo con angoli arrotondati 6">
          <a:extLst>
            <a:ext uri="{FF2B5EF4-FFF2-40B4-BE49-F238E27FC236}">
              <a16:creationId xmlns:a16="http://schemas.microsoft.com/office/drawing/2014/main" id="{7FD5B03C-F956-4D42-8D51-EA41A108E748}"/>
            </a:ext>
          </a:extLst>
        </xdr:cNvPr>
        <xdr:cNvSpPr/>
      </xdr:nvSpPr>
      <xdr:spPr>
        <a:xfrm>
          <a:off x="1320800" y="1587500"/>
          <a:ext cx="2660650" cy="220345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1100" b="1">
              <a:solidFill>
                <a:schemeClr val="tx1"/>
              </a:solidFill>
            </a:rPr>
            <a:t>KPI_V_2</a:t>
          </a:r>
          <a:r>
            <a:rPr lang="it-IT" sz="1100" b="1"/>
            <a:t>I</a:t>
          </a:r>
        </a:p>
      </xdr:txBody>
    </xdr:sp>
    <xdr:clientData/>
  </xdr:twoCellAnchor>
  <xdr:twoCellAnchor>
    <xdr:from>
      <xdr:col>6</xdr:col>
      <xdr:colOff>425450</xdr:colOff>
      <xdr:row>8</xdr:row>
      <xdr:rowOff>127000</xdr:rowOff>
    </xdr:from>
    <xdr:to>
      <xdr:col>12</xdr:col>
      <xdr:colOff>165100</xdr:colOff>
      <xdr:row>20</xdr:row>
      <xdr:rowOff>120650</xdr:rowOff>
    </xdr:to>
    <xdr:sp macro="" textlink="">
      <xdr:nvSpPr>
        <xdr:cNvPr id="8" name="Rettangolo con angoli arrotondati 7">
          <a:extLst>
            <a:ext uri="{FF2B5EF4-FFF2-40B4-BE49-F238E27FC236}">
              <a16:creationId xmlns:a16="http://schemas.microsoft.com/office/drawing/2014/main" id="{85F7D45B-8949-4281-A90D-B3996E565CC5}"/>
            </a:ext>
          </a:extLst>
        </xdr:cNvPr>
        <xdr:cNvSpPr/>
      </xdr:nvSpPr>
      <xdr:spPr>
        <a:xfrm>
          <a:off x="4083050" y="1600200"/>
          <a:ext cx="3397250" cy="220345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1100" b="1">
              <a:solidFill>
                <a:schemeClr val="tx1"/>
              </a:solidFill>
            </a:rPr>
            <a:t>KPI_V_3</a:t>
          </a:r>
        </a:p>
      </xdr:txBody>
    </xdr:sp>
    <xdr:clientData/>
  </xdr:twoCellAnchor>
  <xdr:twoCellAnchor>
    <xdr:from>
      <xdr:col>17</xdr:col>
      <xdr:colOff>25400</xdr:colOff>
      <xdr:row>0</xdr:row>
      <xdr:rowOff>101600</xdr:rowOff>
    </xdr:from>
    <xdr:to>
      <xdr:col>19</xdr:col>
      <xdr:colOff>355600</xdr:colOff>
      <xdr:row>8</xdr:row>
      <xdr:rowOff>25400</xdr:rowOff>
    </xdr:to>
    <xdr:sp macro="" textlink="">
      <xdr:nvSpPr>
        <xdr:cNvPr id="14" name="Rettangolo con angoli arrotondati 13">
          <a:extLst>
            <a:ext uri="{FF2B5EF4-FFF2-40B4-BE49-F238E27FC236}">
              <a16:creationId xmlns:a16="http://schemas.microsoft.com/office/drawing/2014/main" id="{CDB9D2FA-2318-4B31-B452-81D71D6DB463}"/>
            </a:ext>
          </a:extLst>
        </xdr:cNvPr>
        <xdr:cNvSpPr/>
      </xdr:nvSpPr>
      <xdr:spPr>
        <a:xfrm>
          <a:off x="10388600" y="101600"/>
          <a:ext cx="1549400" cy="13970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1100" b="1">
              <a:solidFill>
                <a:schemeClr val="tx1"/>
              </a:solidFill>
            </a:rPr>
            <a:t>KPI_P_1</a:t>
          </a:r>
        </a:p>
      </xdr:txBody>
    </xdr:sp>
    <xdr:clientData/>
  </xdr:twoCellAnchor>
  <xdr:twoCellAnchor>
    <xdr:from>
      <xdr:col>0</xdr:col>
      <xdr:colOff>298450</xdr:colOff>
      <xdr:row>3</xdr:row>
      <xdr:rowOff>177800</xdr:rowOff>
    </xdr:from>
    <xdr:to>
      <xdr:col>1</xdr:col>
      <xdr:colOff>298450</xdr:colOff>
      <xdr:row>5</xdr:row>
      <xdr:rowOff>76200</xdr:rowOff>
    </xdr:to>
    <xdr:sp macro="" textlink="">
      <xdr:nvSpPr>
        <xdr:cNvPr id="16" name="CasellaDiTesto 15">
          <a:extLst>
            <a:ext uri="{FF2B5EF4-FFF2-40B4-BE49-F238E27FC236}">
              <a16:creationId xmlns:a16="http://schemas.microsoft.com/office/drawing/2014/main" id="{26091D4A-21D5-40E4-8BA8-557EF920773F}"/>
            </a:ext>
          </a:extLst>
        </xdr:cNvPr>
        <xdr:cNvSpPr txBox="1"/>
      </xdr:nvSpPr>
      <xdr:spPr>
        <a:xfrm>
          <a:off x="298450" y="730250"/>
          <a:ext cx="6096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t-IT" sz="1000">
              <a:solidFill>
                <a:schemeClr val="bg1"/>
              </a:solidFill>
              <a:latin typeface="Arial Nova Cond" panose="020B0506020202020204" pitchFamily="34" charset="0"/>
            </a:rPr>
            <a:t>Filter</a:t>
          </a:r>
          <a:r>
            <a:rPr lang="it-IT" sz="1000" baseline="0">
              <a:solidFill>
                <a:schemeClr val="bg1"/>
              </a:solidFill>
              <a:latin typeface="Arial Nova Cond" panose="020B0506020202020204" pitchFamily="34" charset="0"/>
            </a:rPr>
            <a:t> for </a:t>
          </a:r>
          <a:r>
            <a:rPr lang="it-IT" sz="1000">
              <a:solidFill>
                <a:schemeClr val="bg1"/>
              </a:solidFill>
              <a:latin typeface="Arial Nova Cond" panose="020B0506020202020204" pitchFamily="34" charset="0"/>
            </a:rPr>
            <a:t>YEAR</a:t>
          </a:r>
          <a:endParaRPr lang="it-IT" sz="1100">
            <a:solidFill>
              <a:schemeClr val="bg1"/>
            </a:solidFill>
            <a:latin typeface="Arial Nova Cond" panose="020B0506020202020204" pitchFamily="34" charset="0"/>
          </a:endParaRPr>
        </a:p>
      </xdr:txBody>
    </xdr:sp>
    <xdr:clientData/>
  </xdr:twoCellAnchor>
  <xdr:twoCellAnchor>
    <xdr:from>
      <xdr:col>12</xdr:col>
      <xdr:colOff>273050</xdr:colOff>
      <xdr:row>8</xdr:row>
      <xdr:rowOff>114300</xdr:rowOff>
    </xdr:from>
    <xdr:to>
      <xdr:col>15</xdr:col>
      <xdr:colOff>304800</xdr:colOff>
      <xdr:row>20</xdr:row>
      <xdr:rowOff>139700</xdr:rowOff>
    </xdr:to>
    <xdr:sp macro="" textlink="">
      <xdr:nvSpPr>
        <xdr:cNvPr id="17" name="Rettangolo con angoli arrotondati 16">
          <a:extLst>
            <a:ext uri="{FF2B5EF4-FFF2-40B4-BE49-F238E27FC236}">
              <a16:creationId xmlns:a16="http://schemas.microsoft.com/office/drawing/2014/main" id="{81B4B125-7FA2-4300-8BC9-A4152CC5666B}"/>
            </a:ext>
          </a:extLst>
        </xdr:cNvPr>
        <xdr:cNvSpPr/>
      </xdr:nvSpPr>
      <xdr:spPr>
        <a:xfrm>
          <a:off x="7588250" y="1587500"/>
          <a:ext cx="1860550" cy="22352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1100" b="1">
              <a:solidFill>
                <a:schemeClr val="tx1"/>
              </a:solidFill>
            </a:rPr>
            <a:t>KPI_P_3</a:t>
          </a:r>
        </a:p>
      </xdr:txBody>
    </xdr:sp>
    <xdr:clientData/>
  </xdr:twoCellAnchor>
  <xdr:twoCellAnchor>
    <xdr:from>
      <xdr:col>15</xdr:col>
      <xdr:colOff>400050</xdr:colOff>
      <xdr:row>8</xdr:row>
      <xdr:rowOff>76200</xdr:rowOff>
    </xdr:from>
    <xdr:to>
      <xdr:col>19</xdr:col>
      <xdr:colOff>374650</xdr:colOff>
      <xdr:row>20</xdr:row>
      <xdr:rowOff>177800</xdr:rowOff>
    </xdr:to>
    <xdr:sp macro="" textlink="">
      <xdr:nvSpPr>
        <xdr:cNvPr id="19" name="Rettangolo con angoli arrotondati 18">
          <a:extLst>
            <a:ext uri="{FF2B5EF4-FFF2-40B4-BE49-F238E27FC236}">
              <a16:creationId xmlns:a16="http://schemas.microsoft.com/office/drawing/2014/main" id="{5B1FF146-7B74-4765-91CC-9061B3A7131E}"/>
            </a:ext>
          </a:extLst>
        </xdr:cNvPr>
        <xdr:cNvSpPr/>
      </xdr:nvSpPr>
      <xdr:spPr>
        <a:xfrm>
          <a:off x="9544050" y="1549400"/>
          <a:ext cx="2413000" cy="2311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1100" b="1">
              <a:solidFill>
                <a:schemeClr val="tx1"/>
              </a:solidFill>
            </a:rPr>
            <a:t>KPI_P_2</a:t>
          </a:r>
          <a:r>
            <a:rPr lang="it-IT" sz="1100" b="1"/>
            <a:t>P</a:t>
          </a:r>
        </a:p>
      </xdr:txBody>
    </xdr:sp>
    <xdr:clientData/>
  </xdr:twoCellAnchor>
  <xdr:twoCellAnchor>
    <xdr:from>
      <xdr:col>7</xdr:col>
      <xdr:colOff>476250</xdr:colOff>
      <xdr:row>0</xdr:row>
      <xdr:rowOff>12700</xdr:rowOff>
    </xdr:from>
    <xdr:to>
      <xdr:col>11</xdr:col>
      <xdr:colOff>38100</xdr:colOff>
      <xdr:row>7</xdr:row>
      <xdr:rowOff>177800</xdr:rowOff>
    </xdr:to>
    <xdr:sp macro="" textlink="">
      <xdr:nvSpPr>
        <xdr:cNvPr id="21" name="Rettangolo con angoli arrotondati 20">
          <a:extLst>
            <a:ext uri="{FF2B5EF4-FFF2-40B4-BE49-F238E27FC236}">
              <a16:creationId xmlns:a16="http://schemas.microsoft.com/office/drawing/2014/main" id="{A19CF83E-046A-459C-9C23-53AC32A9869A}"/>
            </a:ext>
          </a:extLst>
        </xdr:cNvPr>
        <xdr:cNvSpPr/>
      </xdr:nvSpPr>
      <xdr:spPr>
        <a:xfrm>
          <a:off x="4743450" y="12700"/>
          <a:ext cx="2000250" cy="145415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1100" b="1"/>
            <a:t>12%</a:t>
          </a:r>
          <a:r>
            <a:rPr lang="it-IT" sz="1100" b="1">
              <a:solidFill>
                <a:schemeClr val="tx1"/>
              </a:solidFill>
            </a:rPr>
            <a:t>YOY</a:t>
          </a:r>
        </a:p>
      </xdr:txBody>
    </xdr:sp>
    <xdr:clientData/>
  </xdr:twoCellAnchor>
  <xdr:twoCellAnchor>
    <xdr:from>
      <xdr:col>0</xdr:col>
      <xdr:colOff>127000</xdr:colOff>
      <xdr:row>9</xdr:row>
      <xdr:rowOff>101600</xdr:rowOff>
    </xdr:from>
    <xdr:to>
      <xdr:col>1</xdr:col>
      <xdr:colOff>355600</xdr:colOff>
      <xdr:row>12</xdr:row>
      <xdr:rowOff>19050</xdr:rowOff>
    </xdr:to>
    <xdr:sp macro="" textlink="">
      <xdr:nvSpPr>
        <xdr:cNvPr id="27" name="CasellaDiTesto 26">
          <a:extLst>
            <a:ext uri="{FF2B5EF4-FFF2-40B4-BE49-F238E27FC236}">
              <a16:creationId xmlns:a16="http://schemas.microsoft.com/office/drawing/2014/main" id="{4C6CAB5D-42A2-4D16-95F8-13535A388EE8}"/>
            </a:ext>
          </a:extLst>
        </xdr:cNvPr>
        <xdr:cNvSpPr txBox="1"/>
      </xdr:nvSpPr>
      <xdr:spPr>
        <a:xfrm>
          <a:off x="127000" y="1758950"/>
          <a:ext cx="838200" cy="469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t-IT" sz="1050">
              <a:solidFill>
                <a:schemeClr val="bg1"/>
              </a:solidFill>
              <a:latin typeface="Arial Nova Cond" panose="020B0506020202020204" pitchFamily="34" charset="0"/>
            </a:rPr>
            <a:t>Filter for Models</a:t>
          </a:r>
          <a:endParaRPr lang="it-IT" sz="1200">
            <a:solidFill>
              <a:schemeClr val="bg1"/>
            </a:solidFill>
            <a:latin typeface="Arial Nova Cond" panose="020B0506020202020204" pitchFamily="34" charset="0"/>
          </a:endParaRPr>
        </a:p>
      </xdr:txBody>
    </xdr:sp>
    <xdr:clientData/>
  </xdr:twoCellAnchor>
  <xdr:twoCellAnchor>
    <xdr:from>
      <xdr:col>0</xdr:col>
      <xdr:colOff>152400</xdr:colOff>
      <xdr:row>0</xdr:row>
      <xdr:rowOff>12700</xdr:rowOff>
    </xdr:from>
    <xdr:to>
      <xdr:col>1</xdr:col>
      <xdr:colOff>381000</xdr:colOff>
      <xdr:row>2</xdr:row>
      <xdr:rowOff>114300</xdr:rowOff>
    </xdr:to>
    <xdr:sp macro="" textlink="">
      <xdr:nvSpPr>
        <xdr:cNvPr id="28" name="CasellaDiTesto 27">
          <a:extLst>
            <a:ext uri="{FF2B5EF4-FFF2-40B4-BE49-F238E27FC236}">
              <a16:creationId xmlns:a16="http://schemas.microsoft.com/office/drawing/2014/main" id="{59DF9327-DF27-4D80-8346-0D0645137F16}"/>
            </a:ext>
          </a:extLst>
        </xdr:cNvPr>
        <xdr:cNvSpPr txBox="1"/>
      </xdr:nvSpPr>
      <xdr:spPr>
        <a:xfrm>
          <a:off x="152400" y="12700"/>
          <a:ext cx="838200" cy="469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t-IT" sz="1050">
              <a:solidFill>
                <a:schemeClr val="bg1"/>
              </a:solidFill>
              <a:latin typeface="Arial Nova Cond" panose="020B0506020202020204" pitchFamily="34" charset="0"/>
            </a:rPr>
            <a:t>Logo</a:t>
          </a:r>
          <a:endParaRPr lang="it-IT" sz="1200">
            <a:solidFill>
              <a:schemeClr val="bg1"/>
            </a:solidFill>
            <a:latin typeface="Arial Nova Cond" panose="020B0506020202020204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0</xdr:row>
      <xdr:rowOff>0</xdr:rowOff>
    </xdr:from>
    <xdr:to>
      <xdr:col>1</xdr:col>
      <xdr:colOff>438150</xdr:colOff>
      <xdr:row>5</xdr:row>
      <xdr:rowOff>6027</xdr:rowOff>
    </xdr:to>
    <xdr:pic>
      <xdr:nvPicPr>
        <xdr:cNvPr id="5" name="Immagine 4" descr="Lamborghini Logo PNG Transparent &amp; SVG Vector - Freebie Supply">
          <a:extLst>
            <a:ext uri="{FF2B5EF4-FFF2-40B4-BE49-F238E27FC236}">
              <a16:creationId xmlns:a16="http://schemas.microsoft.com/office/drawing/2014/main" id="{2439B10F-E582-67DE-AD14-873BB850A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0"/>
          <a:ext cx="806450" cy="926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133350</xdr:colOff>
      <xdr:row>0</xdr:row>
      <xdr:rowOff>82550</xdr:rowOff>
    </xdr:from>
    <xdr:to>
      <xdr:col>7</xdr:col>
      <xdr:colOff>412750</xdr:colOff>
      <xdr:row>4</xdr:row>
      <xdr:rowOff>44450</xdr:rowOff>
    </xdr:to>
    <xdr:sp macro="" textlink="">
      <xdr:nvSpPr>
        <xdr:cNvPr id="6" name="Rettangolo con angoli arrotondati 5">
          <a:extLst>
            <a:ext uri="{FF2B5EF4-FFF2-40B4-BE49-F238E27FC236}">
              <a16:creationId xmlns:a16="http://schemas.microsoft.com/office/drawing/2014/main" id="{D387DC6A-D5F3-D464-2C85-EB3E84740045}"/>
            </a:ext>
          </a:extLst>
        </xdr:cNvPr>
        <xdr:cNvSpPr/>
      </xdr:nvSpPr>
      <xdr:spPr>
        <a:xfrm>
          <a:off x="1352550" y="82550"/>
          <a:ext cx="3327400" cy="698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2000" b="1">
              <a:solidFill>
                <a:schemeClr val="tx1"/>
              </a:solidFill>
              <a:latin typeface="Arial Nova Cond" panose="020B0506020202020204" pitchFamily="34" charset="0"/>
            </a:rPr>
            <a:t>LAMBORGHINI</a:t>
          </a:r>
          <a:r>
            <a:rPr lang="it-IT" sz="2000" b="1" baseline="0">
              <a:solidFill>
                <a:schemeClr val="tx1"/>
              </a:solidFill>
              <a:latin typeface="Arial Nova Cond" panose="020B0506020202020204" pitchFamily="34" charset="0"/>
            </a:rPr>
            <a:t> DASHBOARD</a:t>
          </a:r>
        </a:p>
        <a:p>
          <a:pPr algn="l"/>
          <a:r>
            <a:rPr lang="it-IT" sz="1100">
              <a:solidFill>
                <a:schemeClr val="tx1"/>
              </a:solidFill>
              <a:latin typeface="Arial Nova Cond" panose="020B0506020202020204" pitchFamily="34" charset="0"/>
            </a:rPr>
            <a:t>KPI for Sales</a:t>
          </a:r>
          <a:r>
            <a:rPr lang="it-IT" sz="1100" baseline="0">
              <a:solidFill>
                <a:schemeClr val="tx1"/>
              </a:solidFill>
              <a:latin typeface="Arial Nova Cond" panose="020B0506020202020204" pitchFamily="34" charset="0"/>
            </a:rPr>
            <a:t> Volume, Revenue, Market, Geography</a:t>
          </a:r>
          <a:endParaRPr lang="it-IT" sz="1100">
            <a:solidFill>
              <a:schemeClr val="tx1"/>
            </a:solidFill>
            <a:latin typeface="Arial Nova Cond" panose="020B0506020202020204" pitchFamily="34" charset="0"/>
          </a:endParaRPr>
        </a:p>
      </xdr:txBody>
    </xdr:sp>
    <xdr:clientData/>
  </xdr:twoCellAnchor>
  <xdr:twoCellAnchor>
    <xdr:from>
      <xdr:col>2</xdr:col>
      <xdr:colOff>133350</xdr:colOff>
      <xdr:row>4</xdr:row>
      <xdr:rowOff>152400</xdr:rowOff>
    </xdr:from>
    <xdr:to>
      <xdr:col>4</xdr:col>
      <xdr:colOff>400050</xdr:colOff>
      <xdr:row>8</xdr:row>
      <xdr:rowOff>0</xdr:rowOff>
    </xdr:to>
    <xdr:sp macro="" textlink="">
      <xdr:nvSpPr>
        <xdr:cNvPr id="7" name="Rettangolo con angoli arrotondati 6">
          <a:extLst>
            <a:ext uri="{FF2B5EF4-FFF2-40B4-BE49-F238E27FC236}">
              <a16:creationId xmlns:a16="http://schemas.microsoft.com/office/drawing/2014/main" id="{3105D349-C719-47FE-8600-492537C86FE4}"/>
            </a:ext>
          </a:extLst>
        </xdr:cNvPr>
        <xdr:cNvSpPr/>
      </xdr:nvSpPr>
      <xdr:spPr>
        <a:xfrm>
          <a:off x="1352550" y="889000"/>
          <a:ext cx="1485900" cy="5842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b="1">
            <a:solidFill>
              <a:schemeClr val="tx2"/>
            </a:solidFill>
          </a:endParaRPr>
        </a:p>
      </xdr:txBody>
    </xdr:sp>
    <xdr:clientData/>
  </xdr:twoCellAnchor>
  <xdr:twoCellAnchor>
    <xdr:from>
      <xdr:col>4</xdr:col>
      <xdr:colOff>584200</xdr:colOff>
      <xdr:row>4</xdr:row>
      <xdr:rowOff>146050</xdr:rowOff>
    </xdr:from>
    <xdr:to>
      <xdr:col>7</xdr:col>
      <xdr:colOff>241300</xdr:colOff>
      <xdr:row>7</xdr:row>
      <xdr:rowOff>177800</xdr:rowOff>
    </xdr:to>
    <xdr:sp macro="" textlink="">
      <xdr:nvSpPr>
        <xdr:cNvPr id="8" name="Rettangolo con angoli arrotondati 7">
          <a:extLst>
            <a:ext uri="{FF2B5EF4-FFF2-40B4-BE49-F238E27FC236}">
              <a16:creationId xmlns:a16="http://schemas.microsoft.com/office/drawing/2014/main" id="{AD88BE49-C2FD-4E14-B1A5-E5D1E77514F3}"/>
            </a:ext>
          </a:extLst>
        </xdr:cNvPr>
        <xdr:cNvSpPr/>
      </xdr:nvSpPr>
      <xdr:spPr>
        <a:xfrm>
          <a:off x="3022600" y="882650"/>
          <a:ext cx="1485900" cy="5842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11</xdr:col>
      <xdr:colOff>133350</xdr:colOff>
      <xdr:row>0</xdr:row>
      <xdr:rowOff>69850</xdr:rowOff>
    </xdr:from>
    <xdr:to>
      <xdr:col>16</xdr:col>
      <xdr:colOff>577850</xdr:colOff>
      <xdr:row>8</xdr:row>
      <xdr:rowOff>44450</xdr:rowOff>
    </xdr:to>
    <xdr:sp macro="" textlink="">
      <xdr:nvSpPr>
        <xdr:cNvPr id="10" name="Rettangolo con angoli arrotondati 9">
          <a:extLst>
            <a:ext uri="{FF2B5EF4-FFF2-40B4-BE49-F238E27FC236}">
              <a16:creationId xmlns:a16="http://schemas.microsoft.com/office/drawing/2014/main" id="{F4CB6584-B9CB-4DAC-9011-D94B933AA864}"/>
            </a:ext>
          </a:extLst>
        </xdr:cNvPr>
        <xdr:cNvSpPr/>
      </xdr:nvSpPr>
      <xdr:spPr>
        <a:xfrm>
          <a:off x="6838950" y="69850"/>
          <a:ext cx="3492500" cy="14478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101600</xdr:colOff>
      <xdr:row>8</xdr:row>
      <xdr:rowOff>114300</xdr:rowOff>
    </xdr:from>
    <xdr:to>
      <xdr:col>6</xdr:col>
      <xdr:colOff>323850</xdr:colOff>
      <xdr:row>20</xdr:row>
      <xdr:rowOff>107950</xdr:rowOff>
    </xdr:to>
    <xdr:sp macro="" textlink="">
      <xdr:nvSpPr>
        <xdr:cNvPr id="16" name="Rettangolo con angoli arrotondati 15">
          <a:extLst>
            <a:ext uri="{FF2B5EF4-FFF2-40B4-BE49-F238E27FC236}">
              <a16:creationId xmlns:a16="http://schemas.microsoft.com/office/drawing/2014/main" id="{C8FEF542-90A7-4C95-AD3C-151560997391}"/>
            </a:ext>
          </a:extLst>
        </xdr:cNvPr>
        <xdr:cNvSpPr/>
      </xdr:nvSpPr>
      <xdr:spPr>
        <a:xfrm>
          <a:off x="1320800" y="1587500"/>
          <a:ext cx="2660650" cy="220345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6</xdr:col>
      <xdr:colOff>425450</xdr:colOff>
      <xdr:row>8</xdr:row>
      <xdr:rowOff>127000</xdr:rowOff>
    </xdr:from>
    <xdr:to>
      <xdr:col>12</xdr:col>
      <xdr:colOff>165100</xdr:colOff>
      <xdr:row>20</xdr:row>
      <xdr:rowOff>120650</xdr:rowOff>
    </xdr:to>
    <xdr:sp macro="" textlink="">
      <xdr:nvSpPr>
        <xdr:cNvPr id="17" name="Rettangolo con angoli arrotondati 16">
          <a:extLst>
            <a:ext uri="{FF2B5EF4-FFF2-40B4-BE49-F238E27FC236}">
              <a16:creationId xmlns:a16="http://schemas.microsoft.com/office/drawing/2014/main" id="{1F3E27D3-D8B0-48FC-ACF1-6EA5ED5BC81B}"/>
            </a:ext>
          </a:extLst>
        </xdr:cNvPr>
        <xdr:cNvSpPr/>
      </xdr:nvSpPr>
      <xdr:spPr>
        <a:xfrm>
          <a:off x="4083050" y="1600200"/>
          <a:ext cx="3397250" cy="220345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2</xdr:col>
      <xdr:colOff>285750</xdr:colOff>
      <xdr:row>4</xdr:row>
      <xdr:rowOff>177800</xdr:rowOff>
    </xdr:from>
    <xdr:to>
      <xdr:col>4</xdr:col>
      <xdr:colOff>336550</xdr:colOff>
      <xdr:row>5</xdr:row>
      <xdr:rowOff>171450</xdr:rowOff>
    </xdr:to>
    <xdr:sp macro="" textlink="">
      <xdr:nvSpPr>
        <xdr:cNvPr id="29" name="CasellaDiTesto 28">
          <a:extLst>
            <a:ext uri="{FF2B5EF4-FFF2-40B4-BE49-F238E27FC236}">
              <a16:creationId xmlns:a16="http://schemas.microsoft.com/office/drawing/2014/main" id="{20B24483-E7F9-15E9-D975-355681CED7E0}"/>
            </a:ext>
          </a:extLst>
        </xdr:cNvPr>
        <xdr:cNvSpPr txBox="1"/>
      </xdr:nvSpPr>
      <xdr:spPr>
        <a:xfrm>
          <a:off x="1504950" y="914400"/>
          <a:ext cx="1270000" cy="177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t-IT" sz="1100" b="1">
              <a:latin typeface="Arial Nova Cond" panose="020B0506020202020204" pitchFamily="34" charset="0"/>
            </a:rPr>
            <a:t>SALES VOLUME</a:t>
          </a:r>
        </a:p>
      </xdr:txBody>
    </xdr:sp>
    <xdr:clientData/>
  </xdr:twoCellAnchor>
  <xdr:twoCellAnchor>
    <xdr:from>
      <xdr:col>2</xdr:col>
      <xdr:colOff>254000</xdr:colOff>
      <xdr:row>6</xdr:row>
      <xdr:rowOff>31750</xdr:rowOff>
    </xdr:from>
    <xdr:to>
      <xdr:col>4</xdr:col>
      <xdr:colOff>304800</xdr:colOff>
      <xdr:row>7</xdr:row>
      <xdr:rowOff>101600</xdr:rowOff>
    </xdr:to>
    <xdr:sp macro="" textlink="KPI_V_1!C2">
      <xdr:nvSpPr>
        <xdr:cNvPr id="31" name="CasellaDiTesto 30">
          <a:extLst>
            <a:ext uri="{FF2B5EF4-FFF2-40B4-BE49-F238E27FC236}">
              <a16:creationId xmlns:a16="http://schemas.microsoft.com/office/drawing/2014/main" id="{AA187BD4-0B8D-4E4A-B9F1-66C951056786}"/>
            </a:ext>
          </a:extLst>
        </xdr:cNvPr>
        <xdr:cNvSpPr txBox="1"/>
      </xdr:nvSpPr>
      <xdr:spPr>
        <a:xfrm>
          <a:off x="1473200" y="1136650"/>
          <a:ext cx="1270000" cy="254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B079444-617B-4ACB-8CC4-806E4EC049C5}" type="TxLink">
            <a:rPr lang="en-US" sz="2400" b="1" i="0" u="none" strike="noStrike">
              <a:solidFill>
                <a:schemeClr val="tx2"/>
              </a:solidFill>
              <a:latin typeface="Arial Nova Cond" panose="020B0506020202020204" pitchFamily="34" charset="0"/>
            </a:rPr>
            <a:pPr algn="ctr"/>
            <a:t>141374</a:t>
          </a:fld>
          <a:endParaRPr lang="it-IT" sz="2400" b="1">
            <a:solidFill>
              <a:schemeClr val="tx2"/>
            </a:solidFill>
            <a:latin typeface="Arial Nova Cond" panose="020B0506020202020204" pitchFamily="34" charset="0"/>
          </a:endParaRPr>
        </a:p>
      </xdr:txBody>
    </xdr:sp>
    <xdr:clientData/>
  </xdr:twoCellAnchor>
  <xdr:twoCellAnchor>
    <xdr:from>
      <xdr:col>5</xdr:col>
      <xdr:colOff>76200</xdr:colOff>
      <xdr:row>5</xdr:row>
      <xdr:rowOff>31750</xdr:rowOff>
    </xdr:from>
    <xdr:to>
      <xdr:col>7</xdr:col>
      <xdr:colOff>127000</xdr:colOff>
      <xdr:row>6</xdr:row>
      <xdr:rowOff>25400</xdr:rowOff>
    </xdr:to>
    <xdr:sp macro="" textlink="">
      <xdr:nvSpPr>
        <xdr:cNvPr id="32" name="CasellaDiTesto 31">
          <a:extLst>
            <a:ext uri="{FF2B5EF4-FFF2-40B4-BE49-F238E27FC236}">
              <a16:creationId xmlns:a16="http://schemas.microsoft.com/office/drawing/2014/main" id="{6F1A238B-F616-4B51-8E2E-ACF467135C24}"/>
            </a:ext>
          </a:extLst>
        </xdr:cNvPr>
        <xdr:cNvSpPr txBox="1"/>
      </xdr:nvSpPr>
      <xdr:spPr>
        <a:xfrm>
          <a:off x="3124200" y="952500"/>
          <a:ext cx="1270000" cy="177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t-IT" sz="1100" b="1">
              <a:latin typeface="Arial Nova Cond" panose="020F0502020204030204" pitchFamily="34" charset="0"/>
            </a:rPr>
            <a:t>TOTAL</a:t>
          </a:r>
          <a:r>
            <a:rPr lang="it-IT" sz="1100" b="1" baseline="0">
              <a:latin typeface="Arial Nova Cond" panose="020F0502020204030204" pitchFamily="34" charset="0"/>
            </a:rPr>
            <a:t> REVENUE</a:t>
          </a:r>
          <a:endParaRPr lang="it-IT" sz="1100" b="1">
            <a:latin typeface="Arial Nova Cond" panose="020F0502020204030204" pitchFamily="34" charset="0"/>
          </a:endParaRPr>
        </a:p>
      </xdr:txBody>
    </xdr:sp>
    <xdr:clientData/>
  </xdr:twoCellAnchor>
  <xdr:twoCellAnchor>
    <xdr:from>
      <xdr:col>5</xdr:col>
      <xdr:colOff>12700</xdr:colOff>
      <xdr:row>6</xdr:row>
      <xdr:rowOff>38100</xdr:rowOff>
    </xdr:from>
    <xdr:to>
      <xdr:col>7</xdr:col>
      <xdr:colOff>241300</xdr:colOff>
      <xdr:row>7</xdr:row>
      <xdr:rowOff>133350</xdr:rowOff>
    </xdr:to>
    <xdr:sp macro="" textlink="KPI_R_1!C4">
      <xdr:nvSpPr>
        <xdr:cNvPr id="33" name="CasellaDiTesto 32">
          <a:extLst>
            <a:ext uri="{FF2B5EF4-FFF2-40B4-BE49-F238E27FC236}">
              <a16:creationId xmlns:a16="http://schemas.microsoft.com/office/drawing/2014/main" id="{161238BB-8D33-413D-9F81-24C305458A31}"/>
            </a:ext>
          </a:extLst>
        </xdr:cNvPr>
        <xdr:cNvSpPr txBox="1"/>
      </xdr:nvSpPr>
      <xdr:spPr>
        <a:xfrm>
          <a:off x="3060700" y="1143000"/>
          <a:ext cx="1447800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7258822-60DB-4E97-8937-A1C4C1D79078}" type="TxLink">
            <a:rPr lang="en-US" sz="2000" b="1" i="0" u="none" strike="noStrike">
              <a:solidFill>
                <a:schemeClr val="tx2"/>
              </a:solidFill>
              <a:latin typeface="Arial Nova Cond" panose="020B0506020202020204" pitchFamily="34" charset="0"/>
            </a:rPr>
            <a:pPr algn="ctr"/>
            <a:t>43.190 mln</a:t>
          </a:fld>
          <a:endParaRPr lang="en-US" sz="4400" b="1" i="0" u="none" strike="noStrike">
            <a:solidFill>
              <a:schemeClr val="tx2"/>
            </a:solidFill>
            <a:latin typeface="Arial Nova Cond" panose="020B0506020202020204" pitchFamily="34" charset="0"/>
          </a:endParaRPr>
        </a:p>
      </xdr:txBody>
    </xdr:sp>
    <xdr:clientData/>
  </xdr:twoCellAnchor>
  <xdr:twoCellAnchor>
    <xdr:from>
      <xdr:col>2</xdr:col>
      <xdr:colOff>31750</xdr:colOff>
      <xdr:row>8</xdr:row>
      <xdr:rowOff>177800</xdr:rowOff>
    </xdr:from>
    <xdr:to>
      <xdr:col>6</xdr:col>
      <xdr:colOff>342900</xdr:colOff>
      <xdr:row>20</xdr:row>
      <xdr:rowOff>101600</xdr:rowOff>
    </xdr:to>
    <xdr:graphicFrame macro="">
      <xdr:nvGraphicFramePr>
        <xdr:cNvPr id="35" name="Grafico 34">
          <a:extLst>
            <a:ext uri="{FF2B5EF4-FFF2-40B4-BE49-F238E27FC236}">
              <a16:creationId xmlns:a16="http://schemas.microsoft.com/office/drawing/2014/main" id="{AFCD436D-0E38-44EC-89A5-777C86F95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25400</xdr:colOff>
      <xdr:row>0</xdr:row>
      <xdr:rowOff>101600</xdr:rowOff>
    </xdr:from>
    <xdr:to>
      <xdr:col>19</xdr:col>
      <xdr:colOff>355600</xdr:colOff>
      <xdr:row>8</xdr:row>
      <xdr:rowOff>25400</xdr:rowOff>
    </xdr:to>
    <xdr:sp macro="" textlink="">
      <xdr:nvSpPr>
        <xdr:cNvPr id="37" name="Rettangolo con angoli arrotondati 36">
          <a:extLst>
            <a:ext uri="{FF2B5EF4-FFF2-40B4-BE49-F238E27FC236}">
              <a16:creationId xmlns:a16="http://schemas.microsoft.com/office/drawing/2014/main" id="{C378795B-D98A-4A6A-8673-B55370D2C1F8}"/>
            </a:ext>
          </a:extLst>
        </xdr:cNvPr>
        <xdr:cNvSpPr/>
      </xdr:nvSpPr>
      <xdr:spPr>
        <a:xfrm>
          <a:off x="10388600" y="101600"/>
          <a:ext cx="1549400" cy="13970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 editAs="oneCell">
    <xdr:from>
      <xdr:col>0</xdr:col>
      <xdr:colOff>0</xdr:colOff>
      <xdr:row>4</xdr:row>
      <xdr:rowOff>133350</xdr:rowOff>
    </xdr:from>
    <xdr:to>
      <xdr:col>1</xdr:col>
      <xdr:colOff>598426</xdr:colOff>
      <xdr:row>20</xdr:row>
      <xdr:rowOff>12700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9" name="Year 1" descr=" ">
              <a:extLst>
                <a:ext uri="{FF2B5EF4-FFF2-40B4-BE49-F238E27FC236}">
                  <a16:creationId xmlns:a16="http://schemas.microsoft.com/office/drawing/2014/main" id="{3AA2933E-F04A-4BEB-9B68-3007692AA0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67128"/>
              <a:ext cx="1205204" cy="28144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>
    <xdr:from>
      <xdr:col>0</xdr:col>
      <xdr:colOff>298450</xdr:colOff>
      <xdr:row>3</xdr:row>
      <xdr:rowOff>177800</xdr:rowOff>
    </xdr:from>
    <xdr:to>
      <xdr:col>1</xdr:col>
      <xdr:colOff>298450</xdr:colOff>
      <xdr:row>5</xdr:row>
      <xdr:rowOff>76200</xdr:rowOff>
    </xdr:to>
    <xdr:sp macro="" textlink="">
      <xdr:nvSpPr>
        <xdr:cNvPr id="40" name="CasellaDiTesto 39">
          <a:extLst>
            <a:ext uri="{FF2B5EF4-FFF2-40B4-BE49-F238E27FC236}">
              <a16:creationId xmlns:a16="http://schemas.microsoft.com/office/drawing/2014/main" id="{D4B91FE9-03EB-F3AC-705C-45771580B266}"/>
            </a:ext>
          </a:extLst>
        </xdr:cNvPr>
        <xdr:cNvSpPr txBox="1"/>
      </xdr:nvSpPr>
      <xdr:spPr>
        <a:xfrm>
          <a:off x="298450" y="730250"/>
          <a:ext cx="6096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t-IT" sz="1000">
              <a:solidFill>
                <a:schemeClr val="bg1"/>
              </a:solidFill>
              <a:latin typeface="Arial Nova Cond" panose="020B0506020202020204" pitchFamily="34" charset="0"/>
            </a:rPr>
            <a:t>YEAR</a:t>
          </a:r>
          <a:endParaRPr lang="it-IT" sz="1100">
            <a:solidFill>
              <a:schemeClr val="bg1"/>
            </a:solidFill>
            <a:latin typeface="Arial Nova Cond" panose="020B0506020202020204" pitchFamily="34" charset="0"/>
          </a:endParaRPr>
        </a:p>
      </xdr:txBody>
    </xdr:sp>
    <xdr:clientData/>
  </xdr:twoCellAnchor>
  <xdr:twoCellAnchor>
    <xdr:from>
      <xdr:col>12</xdr:col>
      <xdr:colOff>273050</xdr:colOff>
      <xdr:row>8</xdr:row>
      <xdr:rowOff>114300</xdr:rowOff>
    </xdr:from>
    <xdr:to>
      <xdr:col>15</xdr:col>
      <xdr:colOff>304800</xdr:colOff>
      <xdr:row>20</xdr:row>
      <xdr:rowOff>139700</xdr:rowOff>
    </xdr:to>
    <xdr:sp macro="" textlink="">
      <xdr:nvSpPr>
        <xdr:cNvPr id="41" name="Rettangolo con angoli arrotondati 40">
          <a:extLst>
            <a:ext uri="{FF2B5EF4-FFF2-40B4-BE49-F238E27FC236}">
              <a16:creationId xmlns:a16="http://schemas.microsoft.com/office/drawing/2014/main" id="{ADB41A90-4D67-400C-BDE3-B1F06829AB6B}"/>
            </a:ext>
          </a:extLst>
        </xdr:cNvPr>
        <xdr:cNvSpPr/>
      </xdr:nvSpPr>
      <xdr:spPr>
        <a:xfrm>
          <a:off x="7588250" y="1587500"/>
          <a:ext cx="1860550" cy="22352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16</xdr:col>
      <xdr:colOff>19050</xdr:colOff>
      <xdr:row>0</xdr:row>
      <xdr:rowOff>82550</xdr:rowOff>
    </xdr:from>
    <xdr:to>
      <xdr:col>19</xdr:col>
      <xdr:colOff>495300</xdr:colOff>
      <xdr:row>8</xdr:row>
      <xdr:rowOff>6350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406CF2DC-1BD2-478D-9A2F-A0BBD8ACC0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381000</xdr:colOff>
      <xdr:row>8</xdr:row>
      <xdr:rowOff>76200</xdr:rowOff>
    </xdr:from>
    <xdr:to>
      <xdr:col>19</xdr:col>
      <xdr:colOff>355600</xdr:colOff>
      <xdr:row>20</xdr:row>
      <xdr:rowOff>177800</xdr:rowOff>
    </xdr:to>
    <xdr:sp macro="" textlink="">
      <xdr:nvSpPr>
        <xdr:cNvPr id="11" name="Rettangolo con angoli arrotondati 10">
          <a:extLst>
            <a:ext uri="{FF2B5EF4-FFF2-40B4-BE49-F238E27FC236}">
              <a16:creationId xmlns:a16="http://schemas.microsoft.com/office/drawing/2014/main" id="{29B31C29-DED9-4F35-A865-DAA22D9F4EA0}"/>
            </a:ext>
          </a:extLst>
        </xdr:cNvPr>
        <xdr:cNvSpPr/>
      </xdr:nvSpPr>
      <xdr:spPr>
        <a:xfrm>
          <a:off x="9525000" y="1549400"/>
          <a:ext cx="2413000" cy="2311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15</xdr:col>
      <xdr:colOff>450850</xdr:colOff>
      <xdr:row>8</xdr:row>
      <xdr:rowOff>133350</xdr:rowOff>
    </xdr:from>
    <xdr:to>
      <xdr:col>19</xdr:col>
      <xdr:colOff>584200</xdr:colOff>
      <xdr:row>19</xdr:row>
      <xdr:rowOff>177800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6E20FB89-2612-4B95-9EB4-E507D810B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476250</xdr:colOff>
      <xdr:row>0</xdr:row>
      <xdr:rowOff>12700</xdr:rowOff>
    </xdr:from>
    <xdr:to>
      <xdr:col>11</xdr:col>
      <xdr:colOff>38100</xdr:colOff>
      <xdr:row>7</xdr:row>
      <xdr:rowOff>177800</xdr:rowOff>
    </xdr:to>
    <xdr:sp macro="" textlink="">
      <xdr:nvSpPr>
        <xdr:cNvPr id="18" name="Rettangolo con angoli arrotondati 17">
          <a:extLst>
            <a:ext uri="{FF2B5EF4-FFF2-40B4-BE49-F238E27FC236}">
              <a16:creationId xmlns:a16="http://schemas.microsoft.com/office/drawing/2014/main" id="{DAF59F84-1404-44CB-AF15-EDEC7A470446}"/>
            </a:ext>
          </a:extLst>
        </xdr:cNvPr>
        <xdr:cNvSpPr/>
      </xdr:nvSpPr>
      <xdr:spPr>
        <a:xfrm>
          <a:off x="4743450" y="12700"/>
          <a:ext cx="2000250" cy="145415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12%</a:t>
          </a:r>
        </a:p>
      </xdr:txBody>
    </xdr:sp>
    <xdr:clientData/>
  </xdr:twoCellAnchor>
  <xdr:twoCellAnchor>
    <xdr:from>
      <xdr:col>12</xdr:col>
      <xdr:colOff>304800</xdr:colOff>
      <xdr:row>8</xdr:row>
      <xdr:rowOff>139700</xdr:rowOff>
    </xdr:from>
    <xdr:to>
      <xdr:col>15</xdr:col>
      <xdr:colOff>533400</xdr:colOff>
      <xdr:row>20</xdr:row>
      <xdr:rowOff>76200</xdr:rowOff>
    </xdr:to>
    <xdr:graphicFrame macro="">
      <xdr:nvGraphicFramePr>
        <xdr:cNvPr id="15" name="Grafico 14">
          <a:extLst>
            <a:ext uri="{FF2B5EF4-FFF2-40B4-BE49-F238E27FC236}">
              <a16:creationId xmlns:a16="http://schemas.microsoft.com/office/drawing/2014/main" id="{57454F39-2B72-470E-8259-E1E0137528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412750</xdr:colOff>
      <xdr:row>8</xdr:row>
      <xdr:rowOff>146050</xdr:rowOff>
    </xdr:from>
    <xdr:to>
      <xdr:col>12</xdr:col>
      <xdr:colOff>82550</xdr:colOff>
      <xdr:row>20</xdr:row>
      <xdr:rowOff>101600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215FE33-6AAC-48B3-8D63-20B31E3E4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539750</xdr:colOff>
      <xdr:row>0</xdr:row>
      <xdr:rowOff>95250</xdr:rowOff>
    </xdr:from>
    <xdr:to>
      <xdr:col>17</xdr:col>
      <xdr:colOff>0</xdr:colOff>
      <xdr:row>8</xdr:row>
      <xdr:rowOff>76200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E1AC4E0F-4E53-4F85-B342-96CA257E01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463550</xdr:colOff>
      <xdr:row>0</xdr:row>
      <xdr:rowOff>25400</xdr:rowOff>
    </xdr:from>
    <xdr:to>
      <xdr:col>11</xdr:col>
      <xdr:colOff>76200</xdr:colOff>
      <xdr:row>7</xdr:row>
      <xdr:rowOff>152400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6B4CEBDD-9A3D-414D-A6AD-87287BAD5E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12700</xdr:colOff>
      <xdr:row>11</xdr:row>
      <xdr:rowOff>95250</xdr:rowOff>
    </xdr:from>
    <xdr:to>
      <xdr:col>1</xdr:col>
      <xdr:colOff>584198</xdr:colOff>
      <xdr:row>27</xdr:row>
      <xdr:rowOff>141111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Model 1">
              <a:extLst>
                <a:ext uri="{FF2B5EF4-FFF2-40B4-BE49-F238E27FC236}">
                  <a16:creationId xmlns:a16="http://schemas.microsoft.com/office/drawing/2014/main" id="{074A488A-0B6D-423F-B787-25B2FD3881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" y="2113139"/>
              <a:ext cx="1178276" cy="18979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>
    <xdr:from>
      <xdr:col>0</xdr:col>
      <xdr:colOff>279400</xdr:colOff>
      <xdr:row>10</xdr:row>
      <xdr:rowOff>120650</xdr:rowOff>
    </xdr:from>
    <xdr:to>
      <xdr:col>1</xdr:col>
      <xdr:colOff>279400</xdr:colOff>
      <xdr:row>12</xdr:row>
      <xdr:rowOff>19050</xdr:rowOff>
    </xdr:to>
    <xdr:sp macro="" textlink="">
      <xdr:nvSpPr>
        <xdr:cNvPr id="22" name="CasellaDiTesto 21">
          <a:extLst>
            <a:ext uri="{FF2B5EF4-FFF2-40B4-BE49-F238E27FC236}">
              <a16:creationId xmlns:a16="http://schemas.microsoft.com/office/drawing/2014/main" id="{C73DEF9C-5259-4737-A5EF-4DC74EC20C6D}"/>
            </a:ext>
          </a:extLst>
        </xdr:cNvPr>
        <xdr:cNvSpPr txBox="1"/>
      </xdr:nvSpPr>
      <xdr:spPr>
        <a:xfrm>
          <a:off x="279400" y="1962150"/>
          <a:ext cx="6096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t-IT" sz="1050">
              <a:solidFill>
                <a:schemeClr val="bg1"/>
              </a:solidFill>
              <a:latin typeface="Arial Nova Cond" panose="020B0506020202020204" pitchFamily="34" charset="0"/>
            </a:rPr>
            <a:t>Models</a:t>
          </a:r>
          <a:endParaRPr lang="it-IT" sz="1200">
            <a:solidFill>
              <a:schemeClr val="bg1"/>
            </a:solidFill>
            <a:latin typeface="Arial Nova Cond" panose="020B0506020202020204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184150</xdr:colOff>
      <xdr:row>19</xdr:row>
      <xdr:rowOff>6350</xdr:rowOff>
    </xdr:from>
    <xdr:to>
      <xdr:col>5</xdr:col>
      <xdr:colOff>266700</xdr:colOff>
      <xdr:row>33</xdr:row>
      <xdr:rowOff>171450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E83093F-44F9-655A-E563-BC4DE2263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590550</xdr:colOff>
      <xdr:row>3</xdr:row>
      <xdr:rowOff>44450</xdr:rowOff>
    </xdr:from>
    <xdr:to>
      <xdr:col>8</xdr:col>
      <xdr:colOff>590550</xdr:colOff>
      <xdr:row>17</xdr:row>
      <xdr:rowOff>85722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Year">
              <a:extLst>
                <a:ext uri="{FF2B5EF4-FFF2-40B4-BE49-F238E27FC236}">
                  <a16:creationId xmlns:a16="http://schemas.microsoft.com/office/drawing/2014/main" id="{A57B4FCE-5DA9-0411-A7C8-8079B1768C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0000" y="5969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>
    <xdr:from>
      <xdr:col>5</xdr:col>
      <xdr:colOff>73025</xdr:colOff>
      <xdr:row>0</xdr:row>
      <xdr:rowOff>177800</xdr:rowOff>
    </xdr:from>
    <xdr:to>
      <xdr:col>12</xdr:col>
      <xdr:colOff>377825</xdr:colOff>
      <xdr:row>15</xdr:row>
      <xdr:rowOff>158750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6D0FACB5-50DF-8A46-4F93-6CDFC2E10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231775</xdr:colOff>
      <xdr:row>1</xdr:row>
      <xdr:rowOff>152400</xdr:rowOff>
    </xdr:from>
    <xdr:to>
      <xdr:col>10</xdr:col>
      <xdr:colOff>536575</xdr:colOff>
      <xdr:row>16</xdr:row>
      <xdr:rowOff>133350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FA14C04-FFFE-2C3C-D51C-1BD53A494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139700</xdr:colOff>
      <xdr:row>2</xdr:row>
      <xdr:rowOff>28575</xdr:rowOff>
    </xdr:from>
    <xdr:to>
      <xdr:col>15</xdr:col>
      <xdr:colOff>444500</xdr:colOff>
      <xdr:row>17</xdr:row>
      <xdr:rowOff>9525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943D057F-745A-E08D-DFAF-031026F48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101600</xdr:colOff>
      <xdr:row>3</xdr:row>
      <xdr:rowOff>38100</xdr:rowOff>
    </xdr:from>
    <xdr:to>
      <xdr:col>9</xdr:col>
      <xdr:colOff>101600</xdr:colOff>
      <xdr:row>17</xdr:row>
      <xdr:rowOff>79372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odel">
              <a:extLst>
                <a:ext uri="{FF2B5EF4-FFF2-40B4-BE49-F238E27FC236}">
                  <a16:creationId xmlns:a16="http://schemas.microsoft.com/office/drawing/2014/main" id="{ACD7DB71-DB5E-8D64-77A6-B7767BE56E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0000" y="59055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127000</xdr:colOff>
      <xdr:row>1</xdr:row>
      <xdr:rowOff>76200</xdr:rowOff>
    </xdr:from>
    <xdr:to>
      <xdr:col>7</xdr:col>
      <xdr:colOff>127000</xdr:colOff>
      <xdr:row>15</xdr:row>
      <xdr:rowOff>117472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Year 2">
              <a:extLst>
                <a:ext uri="{FF2B5EF4-FFF2-40B4-BE49-F238E27FC236}">
                  <a16:creationId xmlns:a16="http://schemas.microsoft.com/office/drawing/2014/main" id="{0F6BC84D-A250-0A1E-EAEF-0D95D54DE0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6750" y="26035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92075</xdr:colOff>
      <xdr:row>3</xdr:row>
      <xdr:rowOff>82550</xdr:rowOff>
    </xdr:from>
    <xdr:to>
      <xdr:col>11</xdr:col>
      <xdr:colOff>396875</xdr:colOff>
      <xdr:row>18</xdr:row>
      <xdr:rowOff>63500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00A682E-48E7-A2E3-9132-A21EAFC45A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3</xdr:row>
      <xdr:rowOff>79375</xdr:rowOff>
    </xdr:from>
    <xdr:to>
      <xdr:col>11</xdr:col>
      <xdr:colOff>447675</xdr:colOff>
      <xdr:row>18</xdr:row>
      <xdr:rowOff>60325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06B547F-0BE8-2EFB-E54C-4E60DA8A6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168275</xdr:colOff>
      <xdr:row>2</xdr:row>
      <xdr:rowOff>82550</xdr:rowOff>
    </xdr:from>
    <xdr:to>
      <xdr:col>10</xdr:col>
      <xdr:colOff>473075</xdr:colOff>
      <xdr:row>17</xdr:row>
      <xdr:rowOff>63500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511A41D-FAEE-FCCA-9233-DB51DA98A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 Cotti" refreshedDate="46096.722315046296" createdVersion="8" refreshedVersion="8" minRefreshableVersion="3" recordCount="54" xr:uid="{28079784-D132-43C6-9B0D-8F2019CD1486}">
  <cacheSource type="worksheet">
    <worksheetSource name="lamborghini_sales_2020_2025"/>
  </cacheSource>
  <cacheFields count="10">
    <cacheField name="Model" numFmtId="0">
      <sharedItems count="6">
        <s v="Urus"/>
        <s v="Huracán"/>
        <s v="Aventador"/>
        <s v="Revuelto"/>
        <s v="Urus SE"/>
        <s v="Huracán (Temerario)"/>
      </sharedItems>
    </cacheField>
    <cacheField name="Year" numFmtId="0">
      <sharedItems containsSemiMixedTypes="0" containsString="0" containsNumber="1" containsInteger="1" minValue="2020" maxValue="2025" count="6">
        <n v="2020"/>
        <n v="2021"/>
        <n v="2022"/>
        <n v="2023"/>
        <n v="2024"/>
        <n v="2025"/>
      </sharedItems>
    </cacheField>
    <cacheField name="Region" numFmtId="0">
      <sharedItems count="3">
        <s v="EMEA"/>
        <s v="Americas"/>
        <s v="APAC"/>
      </sharedItems>
    </cacheField>
    <cacheField name="Color" numFmtId="0">
      <sharedItems count="9">
        <s v="Black"/>
        <s v="White"/>
        <s v="Red"/>
        <s v="Yellow"/>
        <s v="Orange"/>
        <s v="Silver"/>
        <s v="Blue"/>
        <s v="Green"/>
        <s v="Grey"/>
      </sharedItems>
    </cacheField>
    <cacheField name="Fuel Type" numFmtId="0">
      <sharedItems count="2">
        <s v="Gasoline"/>
        <s v="Hybrid"/>
      </sharedItems>
    </cacheField>
    <cacheField name="Base Price (USD)" numFmtId="0">
      <sharedItems containsSemiMixedTypes="0" containsString="0" containsNumber="1" containsInteger="1" minValue="230000" maxValue="590000"/>
    </cacheField>
    <cacheField name="Horsepower" numFmtId="0">
      <sharedItems containsSemiMixedTypes="0" containsString="0" containsNumber="1" containsInteger="1" minValue="631" maxValue="1001" count="5">
        <n v="641"/>
        <n v="631"/>
        <n v="769"/>
        <n v="1001"/>
        <n v="850"/>
      </sharedItems>
    </cacheField>
    <cacheField name="Sales Volume" numFmtId="0">
      <sharedItems containsSemiMixedTypes="0" containsString="0" containsNumber="1" containsInteger="1" minValue="63" maxValue="6200"/>
    </cacheField>
    <cacheField name="Turbo (Yes/No)" numFmtId="0">
      <sharedItems/>
    </cacheField>
    <cacheField name="Ricavi" numFmtId="164">
      <sharedItems containsSemiMixedTypes="0" containsString="0" containsNumber="1" containsInteger="1" minValue="36540000" maxValue="1856000000"/>
    </cacheField>
  </cacheFields>
  <extLst>
    <ext xmlns:x14="http://schemas.microsoft.com/office/spreadsheetml/2009/9/main" uri="{725AE2AE-9491-48be-B2B4-4EB974FC3084}">
      <x14:pivotCacheDefinition pivotCacheId="196345996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x v="0"/>
    <x v="0"/>
    <x v="0"/>
    <x v="0"/>
    <n v="230000"/>
    <x v="0"/>
    <n v="4500"/>
    <s v="Yes"/>
    <n v="1035000000"/>
  </r>
  <r>
    <x v="0"/>
    <x v="0"/>
    <x v="1"/>
    <x v="1"/>
    <x v="0"/>
    <n v="240000"/>
    <x v="0"/>
    <n v="4800"/>
    <s v="Yes"/>
    <n v="1152000000"/>
  </r>
  <r>
    <x v="0"/>
    <x v="0"/>
    <x v="2"/>
    <x v="2"/>
    <x v="0"/>
    <n v="235000"/>
    <x v="0"/>
    <n v="2700"/>
    <s v="Yes"/>
    <n v="634500000"/>
  </r>
  <r>
    <x v="1"/>
    <x v="0"/>
    <x v="0"/>
    <x v="3"/>
    <x v="0"/>
    <n v="260000"/>
    <x v="1"/>
    <n v="2500"/>
    <s v="Yes"/>
    <n v="650000000"/>
  </r>
  <r>
    <x v="1"/>
    <x v="0"/>
    <x v="1"/>
    <x v="4"/>
    <x v="0"/>
    <n v="270000"/>
    <x v="1"/>
    <n v="2600"/>
    <s v="Yes"/>
    <n v="702000000"/>
  </r>
  <r>
    <x v="1"/>
    <x v="0"/>
    <x v="2"/>
    <x v="0"/>
    <x v="0"/>
    <n v="265000"/>
    <x v="1"/>
    <n v="1500"/>
    <s v="Yes"/>
    <n v="397500000"/>
  </r>
  <r>
    <x v="2"/>
    <x v="0"/>
    <x v="0"/>
    <x v="0"/>
    <x v="0"/>
    <n v="550000"/>
    <x v="2"/>
    <n v="600"/>
    <s v="Yes"/>
    <n v="330000000"/>
  </r>
  <r>
    <x v="2"/>
    <x v="0"/>
    <x v="1"/>
    <x v="1"/>
    <x v="0"/>
    <n v="560000"/>
    <x v="2"/>
    <n v="650"/>
    <s v="Yes"/>
    <n v="364000000"/>
  </r>
  <r>
    <x v="2"/>
    <x v="0"/>
    <x v="2"/>
    <x v="2"/>
    <x v="0"/>
    <n v="555000"/>
    <x v="2"/>
    <n v="400"/>
    <s v="Yes"/>
    <n v="222000000"/>
  </r>
  <r>
    <x v="0"/>
    <x v="1"/>
    <x v="0"/>
    <x v="5"/>
    <x v="0"/>
    <n v="235000"/>
    <x v="0"/>
    <n v="5021"/>
    <s v="Yes"/>
    <n v="1179935000"/>
  </r>
  <r>
    <x v="0"/>
    <x v="1"/>
    <x v="1"/>
    <x v="0"/>
    <x v="0"/>
    <n v="245000"/>
    <x v="0"/>
    <n v="5200"/>
    <s v="Yes"/>
    <n v="1274000000"/>
  </r>
  <r>
    <x v="0"/>
    <x v="1"/>
    <x v="2"/>
    <x v="1"/>
    <x v="0"/>
    <n v="240000"/>
    <x v="0"/>
    <n v="2780"/>
    <s v="Yes"/>
    <n v="667200000"/>
  </r>
  <r>
    <x v="1"/>
    <x v="1"/>
    <x v="0"/>
    <x v="3"/>
    <x v="0"/>
    <n v="265000"/>
    <x v="1"/>
    <n v="2586"/>
    <s v="Yes"/>
    <n v="685290000"/>
  </r>
  <r>
    <x v="1"/>
    <x v="1"/>
    <x v="1"/>
    <x v="4"/>
    <x v="0"/>
    <n v="275000"/>
    <x v="1"/>
    <n v="2700"/>
    <s v="Yes"/>
    <n v="742500000"/>
  </r>
  <r>
    <x v="1"/>
    <x v="1"/>
    <x v="2"/>
    <x v="0"/>
    <x v="0"/>
    <n v="270000"/>
    <x v="1"/>
    <n v="1520"/>
    <s v="Yes"/>
    <n v="410400000"/>
  </r>
  <r>
    <x v="2"/>
    <x v="1"/>
    <x v="0"/>
    <x v="0"/>
    <x v="0"/>
    <n v="560000"/>
    <x v="2"/>
    <n v="798"/>
    <s v="Yes"/>
    <n v="446880000"/>
  </r>
  <r>
    <x v="2"/>
    <x v="1"/>
    <x v="1"/>
    <x v="1"/>
    <x v="0"/>
    <n v="570000"/>
    <x v="2"/>
    <n v="820"/>
    <s v="Yes"/>
    <n v="467400000"/>
  </r>
  <r>
    <x v="2"/>
    <x v="1"/>
    <x v="2"/>
    <x v="2"/>
    <x v="0"/>
    <n v="565000"/>
    <x v="2"/>
    <n v="500"/>
    <s v="Yes"/>
    <n v="282500000"/>
  </r>
  <r>
    <x v="0"/>
    <x v="2"/>
    <x v="0"/>
    <x v="0"/>
    <x v="0"/>
    <n v="240000"/>
    <x v="0"/>
    <n v="5367"/>
    <s v="Yes"/>
    <n v="1288080000"/>
  </r>
  <r>
    <x v="0"/>
    <x v="2"/>
    <x v="1"/>
    <x v="1"/>
    <x v="0"/>
    <n v="250000"/>
    <x v="0"/>
    <n v="5550"/>
    <s v="Yes"/>
    <n v="1387500000"/>
  </r>
  <r>
    <x v="0"/>
    <x v="2"/>
    <x v="2"/>
    <x v="2"/>
    <x v="0"/>
    <n v="245000"/>
    <x v="0"/>
    <n v="3000"/>
    <s v="Yes"/>
    <n v="735000000"/>
  </r>
  <r>
    <x v="1"/>
    <x v="2"/>
    <x v="0"/>
    <x v="3"/>
    <x v="0"/>
    <n v="270000"/>
    <x v="1"/>
    <n v="3113"/>
    <s v="Yes"/>
    <n v="840510000"/>
  </r>
  <r>
    <x v="1"/>
    <x v="2"/>
    <x v="1"/>
    <x v="4"/>
    <x v="0"/>
    <n v="280000"/>
    <x v="1"/>
    <n v="3300"/>
    <s v="Yes"/>
    <n v="924000000"/>
  </r>
  <r>
    <x v="1"/>
    <x v="2"/>
    <x v="2"/>
    <x v="0"/>
    <x v="0"/>
    <n v="275000"/>
    <x v="1"/>
    <n v="1900"/>
    <s v="Yes"/>
    <n v="522500000"/>
  </r>
  <r>
    <x v="2"/>
    <x v="2"/>
    <x v="0"/>
    <x v="0"/>
    <x v="0"/>
    <n v="570000"/>
    <x v="2"/>
    <n v="753"/>
    <s v="Yes"/>
    <n v="429210000"/>
  </r>
  <r>
    <x v="2"/>
    <x v="2"/>
    <x v="1"/>
    <x v="1"/>
    <x v="0"/>
    <n v="580000"/>
    <x v="2"/>
    <n v="780"/>
    <s v="Yes"/>
    <n v="452400000"/>
  </r>
  <r>
    <x v="2"/>
    <x v="2"/>
    <x v="2"/>
    <x v="2"/>
    <x v="0"/>
    <n v="575000"/>
    <x v="2"/>
    <n v="480"/>
    <s v="Yes"/>
    <n v="276000000"/>
  </r>
  <r>
    <x v="0"/>
    <x v="3"/>
    <x v="0"/>
    <x v="0"/>
    <x v="0"/>
    <n v="250000"/>
    <x v="0"/>
    <n v="6087"/>
    <s v="Yes"/>
    <n v="1521750000"/>
  </r>
  <r>
    <x v="0"/>
    <x v="3"/>
    <x v="1"/>
    <x v="1"/>
    <x v="0"/>
    <n v="260000"/>
    <x v="0"/>
    <n v="6200"/>
    <s v="Yes"/>
    <n v="1612000000"/>
  </r>
  <r>
    <x v="0"/>
    <x v="3"/>
    <x v="2"/>
    <x v="2"/>
    <x v="0"/>
    <n v="255000"/>
    <x v="0"/>
    <n v="3100"/>
    <s v="Yes"/>
    <n v="790500000"/>
  </r>
  <r>
    <x v="1"/>
    <x v="3"/>
    <x v="0"/>
    <x v="3"/>
    <x v="0"/>
    <n v="280000"/>
    <x v="1"/>
    <n v="3962"/>
    <s v="Yes"/>
    <n v="1109360000"/>
  </r>
  <r>
    <x v="1"/>
    <x v="3"/>
    <x v="1"/>
    <x v="4"/>
    <x v="0"/>
    <n v="290000"/>
    <x v="1"/>
    <n v="4000"/>
    <s v="Yes"/>
    <n v="1160000000"/>
  </r>
  <r>
    <x v="1"/>
    <x v="3"/>
    <x v="2"/>
    <x v="0"/>
    <x v="0"/>
    <n v="285000"/>
    <x v="1"/>
    <n v="2300"/>
    <s v="Yes"/>
    <n v="655500000"/>
  </r>
  <r>
    <x v="2"/>
    <x v="3"/>
    <x v="0"/>
    <x v="0"/>
    <x v="0"/>
    <n v="580000"/>
    <x v="2"/>
    <n v="63"/>
    <s v="Yes"/>
    <n v="36540000"/>
  </r>
  <r>
    <x v="2"/>
    <x v="3"/>
    <x v="1"/>
    <x v="1"/>
    <x v="0"/>
    <n v="590000"/>
    <x v="2"/>
    <n v="63"/>
    <s v="Yes"/>
    <n v="37170000"/>
  </r>
  <r>
    <x v="2"/>
    <x v="3"/>
    <x v="2"/>
    <x v="2"/>
    <x v="0"/>
    <n v="585000"/>
    <x v="2"/>
    <n v="63"/>
    <s v="Yes"/>
    <n v="36855000"/>
  </r>
  <r>
    <x v="3"/>
    <x v="4"/>
    <x v="0"/>
    <x v="6"/>
    <x v="1"/>
    <n v="500000"/>
    <x v="3"/>
    <n v="1406"/>
    <s v="Yes"/>
    <n v="703000000"/>
  </r>
  <r>
    <x v="3"/>
    <x v="4"/>
    <x v="1"/>
    <x v="1"/>
    <x v="1"/>
    <n v="520000"/>
    <x v="3"/>
    <n v="1500"/>
    <s v="Yes"/>
    <n v="780000000"/>
  </r>
  <r>
    <x v="3"/>
    <x v="4"/>
    <x v="2"/>
    <x v="7"/>
    <x v="1"/>
    <n v="510000"/>
    <x v="3"/>
    <n v="900"/>
    <s v="Yes"/>
    <n v="459000000"/>
  </r>
  <r>
    <x v="4"/>
    <x v="4"/>
    <x v="0"/>
    <x v="0"/>
    <x v="1"/>
    <n v="300000"/>
    <x v="0"/>
    <n v="5662"/>
    <s v="Yes"/>
    <n v="1698600000"/>
  </r>
  <r>
    <x v="4"/>
    <x v="4"/>
    <x v="1"/>
    <x v="5"/>
    <x v="1"/>
    <n v="320000"/>
    <x v="0"/>
    <n v="5800"/>
    <s v="Yes"/>
    <n v="1856000000"/>
  </r>
  <r>
    <x v="4"/>
    <x v="4"/>
    <x v="2"/>
    <x v="2"/>
    <x v="1"/>
    <n v="310000"/>
    <x v="0"/>
    <n v="3150"/>
    <s v="Yes"/>
    <n v="976500000"/>
  </r>
  <r>
    <x v="1"/>
    <x v="4"/>
    <x v="0"/>
    <x v="3"/>
    <x v="0"/>
    <n v="290000"/>
    <x v="1"/>
    <n v="3600"/>
    <s v="Yes"/>
    <n v="1044000000"/>
  </r>
  <r>
    <x v="1"/>
    <x v="4"/>
    <x v="1"/>
    <x v="4"/>
    <x v="0"/>
    <n v="300000"/>
    <x v="1"/>
    <n v="3700"/>
    <s v="Yes"/>
    <n v="1110000000"/>
  </r>
  <r>
    <x v="1"/>
    <x v="4"/>
    <x v="2"/>
    <x v="0"/>
    <x v="0"/>
    <n v="295000"/>
    <x v="1"/>
    <n v="2200"/>
    <s v="Yes"/>
    <n v="649000000"/>
  </r>
  <r>
    <x v="3"/>
    <x v="5"/>
    <x v="0"/>
    <x v="2"/>
    <x v="1"/>
    <n v="550000"/>
    <x v="3"/>
    <n v="1700"/>
    <s v="Yes"/>
    <n v="935000000"/>
  </r>
  <r>
    <x v="3"/>
    <x v="5"/>
    <x v="1"/>
    <x v="6"/>
    <x v="1"/>
    <n v="570000"/>
    <x v="3"/>
    <n v="1800"/>
    <s v="Yes"/>
    <n v="1026000000"/>
  </r>
  <r>
    <x v="3"/>
    <x v="5"/>
    <x v="2"/>
    <x v="0"/>
    <x v="1"/>
    <n v="560000"/>
    <x v="3"/>
    <n v="1650"/>
    <s v="Yes"/>
    <n v="924000000"/>
  </r>
  <r>
    <x v="4"/>
    <x v="5"/>
    <x v="0"/>
    <x v="1"/>
    <x v="1"/>
    <n v="330000"/>
    <x v="0"/>
    <n v="4650"/>
    <s v="Yes"/>
    <n v="1534500000"/>
  </r>
  <r>
    <x v="4"/>
    <x v="5"/>
    <x v="1"/>
    <x v="0"/>
    <x v="1"/>
    <n v="340000"/>
    <x v="0"/>
    <n v="4800"/>
    <s v="Yes"/>
    <n v="1632000000"/>
  </r>
  <r>
    <x v="4"/>
    <x v="5"/>
    <x v="2"/>
    <x v="5"/>
    <x v="1"/>
    <n v="335000"/>
    <x v="0"/>
    <n v="2750"/>
    <s v="Yes"/>
    <n v="921250000"/>
  </r>
  <r>
    <x v="5"/>
    <x v="5"/>
    <x v="0"/>
    <x v="8"/>
    <x v="1"/>
    <n v="380000"/>
    <x v="4"/>
    <n v="1300"/>
    <s v="Yes"/>
    <n v="494000000"/>
  </r>
  <r>
    <x v="5"/>
    <x v="5"/>
    <x v="1"/>
    <x v="4"/>
    <x v="1"/>
    <n v="390000"/>
    <x v="4"/>
    <n v="1400"/>
    <s v="Yes"/>
    <n v="546000000"/>
  </r>
  <r>
    <x v="5"/>
    <x v="5"/>
    <x v="2"/>
    <x v="1"/>
    <x v="1"/>
    <n v="385000"/>
    <x v="4"/>
    <n v="1150"/>
    <s v="Yes"/>
    <n v="4427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80D23D-2BF5-4D3E-B905-A3225F026A97}" name="Tabella pivot11" cacheId="0" applyNumberFormats="0" applyBorderFormats="0" applyFontFormats="0" applyPatternFormats="0" applyAlignmentFormats="0" applyWidthHeightFormats="1" dataCaption="Valori" grandTotalCaption="Total " updatedVersion="8" minRefreshableVersion="3" useAutoFormatting="1" itemPrintTitles="1" createdVersion="8" indent="0" outline="1" outlineData="1" multipleFieldFilters="0" chartFormat="22" rowHeaderCaption="Fuel">
  <location ref="A3:B6" firstHeaderRow="1" firstDataRow="1" firstDataCol="1"/>
  <pivotFields count="10">
    <pivotField showAll="0">
      <items count="7">
        <item x="2"/>
        <item x="1"/>
        <item x="5"/>
        <item x="3"/>
        <item x="0"/>
        <item x="4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ales_volume" fld="7" showDataAs="percentOfTotal" baseField="4" baseItem="0" numFmtId="10"/>
  </dataField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DAB8D0-477E-457E-A581-90F5574479F8}" name="Tabella pivot12" cacheId="0" applyNumberFormats="0" applyBorderFormats="0" applyFontFormats="0" applyPatternFormats="0" applyAlignmentFormats="0" applyWidthHeightFormats="1" dataCaption="Valori" grandTotalCaption="Total " updatedVersion="8" minRefreshableVersion="3" useAutoFormatting="1" itemPrintTitles="1" createdVersion="8" indent="0" outline="1" outlineData="1" multipleFieldFilters="0" chartFormat="9" rowHeaderCaption="Color">
  <location ref="A3:B13" firstHeaderRow="1" firstDataRow="1" firstDataCol="1"/>
  <pivotFields count="10">
    <pivotField showAll="0">
      <items count="7">
        <item x="2"/>
        <item x="1"/>
        <item x="5"/>
        <item x="3"/>
        <item x="0"/>
        <item x="4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 sortType="ascending">
      <items count="10">
        <item x="0"/>
        <item x="6"/>
        <item x="7"/>
        <item x="8"/>
        <item x="4"/>
        <item x="2"/>
        <item x="5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numFmtId="164" showAll="0"/>
  </pivotFields>
  <rowFields count="1">
    <field x="3"/>
  </rowFields>
  <rowItems count="10">
    <i>
      <x v="2"/>
    </i>
    <i>
      <x v="3"/>
    </i>
    <i>
      <x v="1"/>
    </i>
    <i>
      <x v="6"/>
    </i>
    <i>
      <x v="5"/>
    </i>
    <i>
      <x v="8"/>
    </i>
    <i>
      <x v="4"/>
    </i>
    <i>
      <x v="7"/>
    </i>
    <i>
      <x/>
    </i>
    <i t="grand">
      <x/>
    </i>
  </rowItems>
  <colItems count="1">
    <i/>
  </colItems>
  <dataFields count="1">
    <dataField name="Sales_volume" fld="7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9B07A-A4BC-423B-BD6B-9DD459FFC1DE}" name="Tabella pivot13" cacheId="0" applyNumberFormats="0" applyBorderFormats="0" applyFontFormats="0" applyPatternFormats="0" applyAlignmentFormats="0" applyWidthHeightFormats="1" dataCaption="Valori" grandTotalCaption="Total " updatedVersion="8" minRefreshableVersion="3" useAutoFormatting="1" itemPrintTitles="1" createdVersion="8" indent="0" outline="1" outlineData="1" multipleFieldFilters="0" chartFormat="19" rowHeaderCaption="Horsepower">
  <location ref="A3:B9" firstHeaderRow="1" firstDataRow="1" firstDataCol="1"/>
  <pivotFields count="10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axis="axisRow" showAll="0" sortType="a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64" showAll="0"/>
  </pivotFields>
  <rowFields count="1">
    <field x="6"/>
  </rowFields>
  <rowItems count="6">
    <i>
      <x v="3"/>
    </i>
    <i>
      <x v="2"/>
    </i>
    <i>
      <x v="4"/>
    </i>
    <i>
      <x/>
    </i>
    <i>
      <x v="1"/>
    </i>
    <i t="grand">
      <x/>
    </i>
  </rowItems>
  <colItems count="1">
    <i/>
  </colItems>
  <dataFields count="1">
    <dataField name=" Sales_Volume" fld="7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A1323F-6D58-4853-8721-3BA949AECA89}" name="Tabella pivot15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10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a di Sales Volume" fld="7" baseField="0" baseItem="0"/>
  </dataField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80927-0863-421A-B6C5-893675EDAA21}" name="Tabella pivot16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10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a di Ricavi" fld="9" baseField="0" baseItem="0" numFmtId="164"/>
  </dataField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E657F-BABC-48B0-B39E-6D71D63DA705}" name="Tabella pivot17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25" firstHeaderRow="1" firstDataRow="1" firstDataCol="1"/>
  <pivotFields count="10">
    <pivotField axis="axisRow" showAll="0">
      <items count="7">
        <item x="2"/>
        <item x="1"/>
        <item x="5"/>
        <item x="3"/>
        <item x="0"/>
        <item x="4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4" showAll="0"/>
  </pivotFields>
  <rowFields count="2">
    <field x="2"/>
    <field x="0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omma di Ricavi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F7C636-F398-4CBC-8C68-21B76BCDA8A0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5" rowHeaderCaption="YEAR">
  <location ref="A3:B10" firstHeaderRow="1" firstDataRow="1" firstDataCol="1"/>
  <pivotFields count="10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YOY" fld="9" showDataAs="percentDiff" baseField="1" baseItem="1048828" numFmtId="10"/>
  </dataFields>
  <chartFormats count="2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681CE-18B2-40AA-87FA-4D2B3FE05969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A4" firstHeaderRow="1" firstDataRow="1" firstDataCol="0" rowPageCount="1" colPageCount="1"/>
  <pivotFields count="10">
    <pivotField showAll="0">
      <items count="7">
        <item x="2"/>
        <item x="1"/>
        <item x="5"/>
        <item x="3"/>
        <item x="0"/>
        <item x="4"/>
        <item t="default"/>
      </items>
    </pivotField>
    <pivotField axis="axisPage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numFmtId="164" showAll="0"/>
  </pivotFields>
  <rowItems count="1">
    <i/>
  </rowItems>
  <colItems count="1">
    <i/>
  </colItems>
  <pageFields count="1">
    <pageField fld="1" hier="-1"/>
  </pageFields>
  <dataFields count="1">
    <dataField name="Somma di Sales Volume" fld="7" baseField="0" baseItem="0"/>
  </dataFields>
  <formats count="1">
    <format dxfId="9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59C8A-52A5-446B-B876-6B0E10DD8211}" name="Tabella pivot2" cacheId="0" applyNumberFormats="0" applyBorderFormats="0" applyFontFormats="0" applyPatternFormats="0" applyAlignmentFormats="0" applyWidthHeightFormats="1" dataCaption="Valori" grandTotalCaption="Total " updatedVersion="8" minRefreshableVersion="3" useAutoFormatting="1" itemPrintTitles="1" createdVersion="8" indent="0" outline="1" outlineData="1" multipleFieldFilters="0" chartFormat="14" rowHeaderCaption="Year">
  <location ref="A1:B8" firstHeaderRow="1" firstDataRow="1" firstDataCol="1"/>
  <pivotFields count="10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numFmtId="164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ales_Volume" fld="7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6F4B0E-1DB9-4E67-B937-E56174F1C142}" name="Tabella pivot3" cacheId="0" applyNumberFormats="0" applyBorderFormats="0" applyFontFormats="0" applyPatternFormats="0" applyAlignmentFormats="0" applyWidthHeightFormats="1" dataCaption="Valori" grandTotalCaption="Total " updatedVersion="8" minRefreshableVersion="3" useAutoFormatting="1" itemPrintTitles="1" createdVersion="8" indent="0" outline="1" outlineData="1" multipleFieldFilters="0" chartFormat="35" rowHeaderCaption="Models">
  <location ref="A3:C10" firstHeaderRow="0" firstDataRow="1" firstDataCol="1" rowPageCount="1" colPageCount="1"/>
  <pivotFields count="10">
    <pivotField axis="axisRow" showAll="0" sortType="ascending">
      <items count="7">
        <item x="2"/>
        <item x="1"/>
        <item x="5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numFmtId="164" showAll="0"/>
  </pivotFields>
  <rowFields count="1">
    <field x="0"/>
  </rowFields>
  <rowItems count="7">
    <i>
      <x v="2"/>
    </i>
    <i>
      <x/>
    </i>
    <i>
      <x v="3"/>
    </i>
    <i>
      <x v="5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ales_Volume" fld="7" baseField="0" baseItem="0"/>
    <dataField name="Somma di Ricavi" fld="9" baseField="0" baseItem="0" numFmtId="164"/>
  </dataField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5A6C80-7AF3-4750-A6CA-DAB7443436CF}" name="Tabella pivot7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A4" firstHeaderRow="1" firstDataRow="1" firstDataCol="0"/>
  <pivotFields count="10">
    <pivotField showAll="0">
      <items count="7">
        <item x="2"/>
        <item x="1"/>
        <item x="5"/>
        <item x="3"/>
        <item x="0"/>
        <item x="4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Items count="1">
    <i/>
  </rowItems>
  <colItems count="1">
    <i/>
  </colItems>
  <dataFields count="1">
    <dataField name="Somma di Ricavi" fld="9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0C2B1F-68B6-474A-A90D-764D95849488}" name="Tabella pivot8" cacheId="0" applyNumberFormats="0" applyBorderFormats="0" applyFontFormats="0" applyPatternFormats="0" applyAlignmentFormats="0" applyWidthHeightFormats="1" dataCaption="Valori" grandTotalCaption="Total " updatedVersion="8" minRefreshableVersion="3" useAutoFormatting="1" itemPrintTitles="1" createdVersion="8" indent="0" outline="1" outlineData="1" multipleFieldFilters="0" chartFormat="7" rowHeaderCaption="Models">
  <location ref="A1:B8" firstHeaderRow="1" firstDataRow="1" firstDataCol="1"/>
  <pivotFields count="10">
    <pivotField axis="axisRow" showAll="0" sortType="ascending">
      <items count="7">
        <item x="2"/>
        <item x="1"/>
        <item x="5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0"/>
  </rowFields>
  <rowItems count="7">
    <i>
      <x v="2"/>
    </i>
    <i>
      <x/>
    </i>
    <i>
      <x v="3"/>
    </i>
    <i>
      <x v="5"/>
    </i>
    <i>
      <x v="1"/>
    </i>
    <i>
      <x v="4"/>
    </i>
    <i t="grand">
      <x/>
    </i>
  </rowItems>
  <colItems count="1">
    <i/>
  </colItems>
  <dataFields count="1">
    <dataField name="Revenue" fld="9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59A29-5021-4665-80AC-ABEE1FFE1164}" name="Tabella pivot9" cacheId="0" applyNumberFormats="0" applyBorderFormats="0" applyFontFormats="0" applyPatternFormats="0" applyAlignmentFormats="0" applyWidthHeightFormats="1" dataCaption="Valori" grandTotalCaption="Total " updatedVersion="8" minRefreshableVersion="3" useAutoFormatting="1" itemPrintTitles="1" createdVersion="8" indent="0" outline="1" outlineData="1" multipleFieldFilters="0" chartFormat="10" rowHeaderCaption="Geo_Market">
  <location ref="A1:B5" firstHeaderRow="1" firstDataRow="1" firstDataCol="1"/>
  <pivotFields count="10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venue" fld="9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03239A-1EEC-4A19-AE0B-9A47DE7F3D16}" name="Tabella pivot10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9">
  <location ref="A1:B8" firstHeaderRow="1" firstDataRow="1" firstDataCol="1"/>
  <pivotFields count="10">
    <pivotField axis="axisRow" showAll="0" sortType="descending">
      <items count="7">
        <item x="2"/>
        <item x="1"/>
        <item x="5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numFmtId="164" showAll="0"/>
  </pivotFields>
  <rowFields count="1">
    <field x="0"/>
  </rowFields>
  <rowItems count="7">
    <i>
      <x/>
    </i>
    <i>
      <x v="3"/>
    </i>
    <i>
      <x v="2"/>
    </i>
    <i>
      <x v="5"/>
    </i>
    <i>
      <x v="1"/>
    </i>
    <i>
      <x v="4"/>
    </i>
    <i t="grand">
      <x/>
    </i>
  </rowItems>
  <colItems count="1">
    <i/>
  </colItems>
  <dataFields count="1">
    <dataField name="Media di Base Price (USD)" fld="5" subtotal="average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B4DD4355-9B54-405D-9BDC-1DFF2E4EC1D9}" autoFormatId="16" applyNumberFormats="0" applyBorderFormats="0" applyFontFormats="0" applyPatternFormats="0" applyAlignmentFormats="0" applyWidthHeightFormats="0">
  <queryTableRefresh nextId="12" unboundColumnsRight="1">
    <queryTableFields count="10">
      <queryTableField id="1" name="Model" tableColumnId="1"/>
      <queryTableField id="2" name="Year" tableColumnId="2"/>
      <queryTableField id="3" name="Region" tableColumnId="3"/>
      <queryTableField id="4" name="Color" tableColumnId="4"/>
      <queryTableField id="5" name="Fuel Type" tableColumnId="5"/>
      <queryTableField id="6" name="Base Price (USD)" tableColumnId="6"/>
      <queryTableField id="7" name="Horsepower" tableColumnId="7"/>
      <queryTableField id="8" name="Sales Volume" tableColumnId="8"/>
      <queryTableField id="9" name="Turbo (Yes/No)" tableColumnId="9"/>
      <queryTableField id="10" dataBound="0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Year" xr10:uid="{E5066071-F3B6-42D1-8547-80293F4DB5B3}" sourceName="Year">
  <pivotTables>
    <pivotTable tabId="3" name="Tabella pivot2"/>
    <pivotTable tabId="1" name="Tabella pivot1"/>
    <pivotTable tabId="4" name="Tabella pivot3"/>
    <pivotTable tabId="7" name="Tabella pivot7"/>
    <pivotTable tabId="12" name="Tabella pivot11"/>
    <pivotTable tabId="8" name="Tabella pivot8"/>
    <pivotTable tabId="9" name="Tabella pivot9"/>
    <pivotTable tabId="16" name="Tabella pivot15"/>
    <pivotTable tabId="14" name="Tabella pivot13"/>
    <pivotTable tabId="13" name="Tabella pivot12"/>
    <pivotTable tabId="20" name="Tabella pivot1"/>
    <pivotTable tabId="10" name="Tabella pivot10"/>
  </pivotTables>
  <data>
    <tabular pivotCacheId="1963459967">
      <items count="6">
        <i x="0" s="1"/>
        <i x="1" s="1"/>
        <i x="2" s="1"/>
        <i x="3" s="1"/>
        <i x="4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Model" xr10:uid="{BC7C98B9-2782-4D48-9C2F-5563FCD55DA5}" sourceName="Model">
  <pivotTables>
    <pivotTable tabId="4" name="Tabella pivot3"/>
    <pivotTable tabId="10" name="Tabella pivot10"/>
    <pivotTable tabId="13" name="Tabella pivot12"/>
    <pivotTable tabId="7" name="Tabella pivot7"/>
    <pivotTable tabId="1" name="Tabella pivot1"/>
    <pivotTable tabId="12" name="Tabella pivot11"/>
  </pivotTables>
  <data>
    <tabular pivotCacheId="1963459967">
      <items count="6">
        <i x="2" s="1"/>
        <i x="1" s="1"/>
        <i x="5" s="1"/>
        <i x="3" s="1"/>
        <i x="0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 1" xr10:uid="{828F4897-5B29-4796-879B-CDC79F93C74E}" cache="FiltroDati_Year" caption="Year" columnCount="2" showCaption="0" style="Stile filtro dati 1" rowHeight="288000"/>
  <slicer name="Model 1" xr10:uid="{C70C7EF9-A9F8-40D6-A6C2-DEF83484B593}" cache="FiltroDati_Model" caption="Model" showCaption="0" style="Stile filtro dati 1" rowHeight="216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AF1D9826-AEAC-4FBA-9FD4-D4E61344DED9}" cache="FiltroDati_Year" caption="Year" rowHeight="251883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l" xr10:uid="{D30F8FD1-27C2-4298-911A-FFC38035368C}" cache="FiltroDati_Model" caption="Model" rowHeight="251883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 2" xr10:uid="{860AEC33-7DD6-42F1-9ED4-31A857DA9E33}" cache="FiltroDati_Year" caption="Year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76F337-5639-401F-B350-0528FF56A24F}" name="lamborghini_sales_2020_2025" displayName="lamborghini_sales_2020_2025" ref="A1:J55" tableType="queryTable" totalsRowShown="0">
  <tableColumns count="10">
    <tableColumn id="1" xr3:uid="{C29C44DE-E435-489A-84CA-A7E61D4029E4}" uniqueName="1" name="Model" queryTableFieldId="1" dataDxfId="98"/>
    <tableColumn id="2" xr3:uid="{DEF1030F-BF5D-41BB-9EEC-E7C16E3B426C}" uniqueName="2" name="Year" queryTableFieldId="2"/>
    <tableColumn id="3" xr3:uid="{888340EB-356E-45B7-A28C-189DB73239F9}" uniqueName="3" name="Region" queryTableFieldId="3" dataDxfId="97"/>
    <tableColumn id="4" xr3:uid="{2E3922F8-0C43-4599-B7D9-5F98DC7CD71F}" uniqueName="4" name="Color" queryTableFieldId="4" dataDxfId="96"/>
    <tableColumn id="5" xr3:uid="{71FA81E9-6389-4B81-A6A3-D48CEE4F61E7}" uniqueName="5" name="Fuel Type" queryTableFieldId="5" dataDxfId="95"/>
    <tableColumn id="6" xr3:uid="{4C0C0981-AC83-4C43-A4A9-5EE91980A340}" uniqueName="6" name="Base Price (USD)" queryTableFieldId="6"/>
    <tableColumn id="7" xr3:uid="{13753F40-1B79-43A3-9B8C-A02C8B6A19DD}" uniqueName="7" name="Horsepower" queryTableFieldId="7"/>
    <tableColumn id="8" xr3:uid="{A69A6CC9-09A3-4C49-AD02-19DBF7C9EA3E}" uniqueName="8" name="Sales Volume" queryTableFieldId="8"/>
    <tableColumn id="9" xr3:uid="{B9D0188F-EBC7-45A0-9A37-013CFABB14C8}" uniqueName="9" name="Turbo (Yes/No)" queryTableFieldId="9" dataDxfId="94"/>
    <tableColumn id="10" xr3:uid="{D251E690-7B96-4653-B189-29BBB9A0C71E}" uniqueName="10" name="Ricavi" queryTableFieldId="10" dataDxfId="9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B1B5-FC3F-43DA-BE5E-574B86ED301C}">
  <dimension ref="A3:B6"/>
  <sheetViews>
    <sheetView workbookViewId="0">
      <selection activeCell="C15" sqref="C15"/>
    </sheetView>
  </sheetViews>
  <sheetFormatPr defaultRowHeight="14.5" x14ac:dyDescent="0.35"/>
  <cols>
    <col min="1" max="1" width="7.90625" bestFit="1" customWidth="1"/>
    <col min="2" max="2" width="12.36328125" bestFit="1" customWidth="1"/>
  </cols>
  <sheetData>
    <row r="3" spans="1:2" x14ac:dyDescent="0.35">
      <c r="A3" s="1" t="s">
        <v>42</v>
      </c>
      <c r="B3" t="s">
        <v>43</v>
      </c>
    </row>
    <row r="4" spans="1:2" x14ac:dyDescent="0.35">
      <c r="A4" s="2" t="s">
        <v>12</v>
      </c>
      <c r="B4" s="8">
        <v>0.71976459603604626</v>
      </c>
    </row>
    <row r="5" spans="1:2" x14ac:dyDescent="0.35">
      <c r="A5" s="2" t="s">
        <v>25</v>
      </c>
      <c r="B5" s="8">
        <v>0.28023540396395374</v>
      </c>
    </row>
    <row r="6" spans="1:2" x14ac:dyDescent="0.35">
      <c r="A6" s="2" t="s">
        <v>38</v>
      </c>
      <c r="B6" s="8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C3E54-01C4-4CF4-8E9A-46290FBA24FA}">
  <dimension ref="A3:B13"/>
  <sheetViews>
    <sheetView workbookViewId="0">
      <selection activeCell="A3" sqref="A3:B13"/>
    </sheetView>
  </sheetViews>
  <sheetFormatPr defaultRowHeight="14.5" x14ac:dyDescent="0.35"/>
  <cols>
    <col min="1" max="1" width="7.54296875" bestFit="1" customWidth="1"/>
    <col min="2" max="2" width="12.36328125" bestFit="1" customWidth="1"/>
  </cols>
  <sheetData>
    <row r="3" spans="1:2" x14ac:dyDescent="0.35">
      <c r="A3" s="1" t="s">
        <v>3</v>
      </c>
      <c r="B3" t="s">
        <v>43</v>
      </c>
    </row>
    <row r="4" spans="1:2" x14ac:dyDescent="0.35">
      <c r="A4" s="2" t="s">
        <v>26</v>
      </c>
      <c r="B4" s="10">
        <v>900</v>
      </c>
    </row>
    <row r="5" spans="1:2" x14ac:dyDescent="0.35">
      <c r="A5" s="2" t="s">
        <v>29</v>
      </c>
      <c r="B5" s="10">
        <v>1300</v>
      </c>
    </row>
    <row r="6" spans="1:2" x14ac:dyDescent="0.35">
      <c r="A6" s="2" t="s">
        <v>24</v>
      </c>
      <c r="B6" s="10">
        <v>3206</v>
      </c>
    </row>
    <row r="7" spans="1:2" x14ac:dyDescent="0.35">
      <c r="A7" s="2" t="s">
        <v>22</v>
      </c>
      <c r="B7" s="10">
        <v>13571</v>
      </c>
    </row>
    <row r="8" spans="1:2" x14ac:dyDescent="0.35">
      <c r="A8" s="2" t="s">
        <v>17</v>
      </c>
      <c r="B8" s="10">
        <v>15093</v>
      </c>
    </row>
    <row r="9" spans="1:2" x14ac:dyDescent="0.35">
      <c r="A9" s="2" t="s">
        <v>19</v>
      </c>
      <c r="B9" s="10">
        <v>15761</v>
      </c>
    </row>
    <row r="10" spans="1:2" x14ac:dyDescent="0.35">
      <c r="A10" s="2" t="s">
        <v>20</v>
      </c>
      <c r="B10" s="10">
        <v>17700</v>
      </c>
    </row>
    <row r="11" spans="1:2" x14ac:dyDescent="0.35">
      <c r="A11" s="2" t="s">
        <v>15</v>
      </c>
      <c r="B11" s="10">
        <v>28943</v>
      </c>
    </row>
    <row r="12" spans="1:2" x14ac:dyDescent="0.35">
      <c r="A12" s="2" t="s">
        <v>11</v>
      </c>
      <c r="B12" s="10">
        <v>44900</v>
      </c>
    </row>
    <row r="13" spans="1:2" x14ac:dyDescent="0.35">
      <c r="A13" s="2" t="s">
        <v>38</v>
      </c>
      <c r="B13" s="10">
        <v>141374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20B42-07B3-4CE9-A94F-6AC2235D3DC9}">
  <dimension ref="A3:B9"/>
  <sheetViews>
    <sheetView workbookViewId="0">
      <selection activeCell="A3" sqref="A3:B9"/>
    </sheetView>
  </sheetViews>
  <sheetFormatPr defaultRowHeight="14.5" x14ac:dyDescent="0.35"/>
  <cols>
    <col min="1" max="2" width="13" bestFit="1" customWidth="1"/>
  </cols>
  <sheetData>
    <row r="3" spans="1:2" x14ac:dyDescent="0.35">
      <c r="A3" s="1" t="s">
        <v>6</v>
      </c>
      <c r="B3" t="s">
        <v>44</v>
      </c>
    </row>
    <row r="4" spans="1:2" x14ac:dyDescent="0.35">
      <c r="A4" s="2">
        <v>850</v>
      </c>
      <c r="B4" s="10">
        <v>3850</v>
      </c>
    </row>
    <row r="5" spans="1:2" x14ac:dyDescent="0.35">
      <c r="A5" s="2">
        <v>769</v>
      </c>
      <c r="B5" s="10">
        <v>5970</v>
      </c>
    </row>
    <row r="6" spans="1:2" x14ac:dyDescent="0.35">
      <c r="A6" s="2">
        <v>1001</v>
      </c>
      <c r="B6" s="10">
        <v>8956</v>
      </c>
    </row>
    <row r="7" spans="1:2" x14ac:dyDescent="0.35">
      <c r="A7" s="2">
        <v>631</v>
      </c>
      <c r="B7" s="10">
        <v>41481</v>
      </c>
    </row>
    <row r="8" spans="1:2" x14ac:dyDescent="0.35">
      <c r="A8" s="2">
        <v>641</v>
      </c>
      <c r="B8" s="10">
        <v>81117</v>
      </c>
    </row>
    <row r="9" spans="1:2" x14ac:dyDescent="0.35">
      <c r="A9" s="2" t="s">
        <v>38</v>
      </c>
      <c r="B9" s="10">
        <v>141374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DC33E-E333-4CC8-AA94-AC82B711EC0D}">
  <dimension ref="A3:B7"/>
  <sheetViews>
    <sheetView workbookViewId="0">
      <selection activeCell="A3" sqref="A3"/>
    </sheetView>
  </sheetViews>
  <sheetFormatPr defaultRowHeight="14.5" x14ac:dyDescent="0.35"/>
  <cols>
    <col min="1" max="1" width="17" bestFit="1" customWidth="1"/>
    <col min="2" max="2" width="21.08984375" bestFit="1" customWidth="1"/>
  </cols>
  <sheetData>
    <row r="3" spans="1:2" x14ac:dyDescent="0.35">
      <c r="A3" s="1" t="s">
        <v>31</v>
      </c>
      <c r="B3" t="s">
        <v>30</v>
      </c>
    </row>
    <row r="4" spans="1:2" x14ac:dyDescent="0.35">
      <c r="A4" s="2" t="s">
        <v>14</v>
      </c>
      <c r="B4" s="10">
        <v>55663</v>
      </c>
    </row>
    <row r="5" spans="1:2" x14ac:dyDescent="0.35">
      <c r="A5" s="2" t="s">
        <v>16</v>
      </c>
      <c r="B5" s="10">
        <v>32043</v>
      </c>
    </row>
    <row r="6" spans="1:2" x14ac:dyDescent="0.35">
      <c r="A6" s="2" t="s">
        <v>10</v>
      </c>
      <c r="B6" s="10">
        <v>53668</v>
      </c>
    </row>
    <row r="7" spans="1:2" x14ac:dyDescent="0.35">
      <c r="A7" s="2" t="s">
        <v>32</v>
      </c>
      <c r="B7" s="10">
        <v>141374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B4E8-9BD5-4FB0-9449-6073EC7DAE97}">
  <dimension ref="A3:B7"/>
  <sheetViews>
    <sheetView workbookViewId="0">
      <selection activeCell="A4" sqref="A4"/>
    </sheetView>
  </sheetViews>
  <sheetFormatPr defaultRowHeight="14.5" x14ac:dyDescent="0.35"/>
  <cols>
    <col min="1" max="1" width="17" bestFit="1" customWidth="1"/>
    <col min="2" max="2" width="14.81640625" bestFit="1" customWidth="1"/>
  </cols>
  <sheetData>
    <row r="3" spans="1:2" x14ac:dyDescent="0.35">
      <c r="A3" s="1" t="s">
        <v>31</v>
      </c>
      <c r="B3" t="s">
        <v>34</v>
      </c>
    </row>
    <row r="4" spans="1:2" x14ac:dyDescent="0.35">
      <c r="A4" s="2" t="s">
        <v>14</v>
      </c>
      <c r="B4" s="3">
        <v>17224970000</v>
      </c>
    </row>
    <row r="5" spans="1:2" x14ac:dyDescent="0.35">
      <c r="A5" s="2" t="s">
        <v>16</v>
      </c>
      <c r="B5" s="3">
        <v>10002955000</v>
      </c>
    </row>
    <row r="6" spans="1:2" x14ac:dyDescent="0.35">
      <c r="A6" s="2" t="s">
        <v>10</v>
      </c>
      <c r="B6" s="3">
        <v>15961655000</v>
      </c>
    </row>
    <row r="7" spans="1:2" x14ac:dyDescent="0.35">
      <c r="A7" s="2" t="s">
        <v>32</v>
      </c>
      <c r="B7" s="3">
        <v>43189580000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B838-AD15-45AD-A0C1-C42B7F220C92}">
  <dimension ref="A3:B25"/>
  <sheetViews>
    <sheetView workbookViewId="0">
      <selection activeCell="A3" sqref="A3"/>
    </sheetView>
  </sheetViews>
  <sheetFormatPr defaultRowHeight="14.5" x14ac:dyDescent="0.35"/>
  <cols>
    <col min="1" max="1" width="21.08984375" bestFit="1" customWidth="1"/>
    <col min="2" max="2" width="14.81640625" bestFit="1" customWidth="1"/>
  </cols>
  <sheetData>
    <row r="3" spans="1:2" x14ac:dyDescent="0.35">
      <c r="A3" s="1" t="s">
        <v>31</v>
      </c>
      <c r="B3" t="s">
        <v>34</v>
      </c>
    </row>
    <row r="4" spans="1:2" x14ac:dyDescent="0.35">
      <c r="A4" s="2" t="s">
        <v>14</v>
      </c>
      <c r="B4" s="3">
        <v>17224970000</v>
      </c>
    </row>
    <row r="5" spans="1:2" x14ac:dyDescent="0.35">
      <c r="A5" s="4" t="s">
        <v>21</v>
      </c>
      <c r="B5" s="3">
        <v>1320970000</v>
      </c>
    </row>
    <row r="6" spans="1:2" x14ac:dyDescent="0.35">
      <c r="A6" s="4" t="s">
        <v>18</v>
      </c>
      <c r="B6" s="3">
        <v>4638500000</v>
      </c>
    </row>
    <row r="7" spans="1:2" x14ac:dyDescent="0.35">
      <c r="A7" s="4" t="s">
        <v>28</v>
      </c>
      <c r="B7" s="3">
        <v>546000000</v>
      </c>
    </row>
    <row r="8" spans="1:2" x14ac:dyDescent="0.35">
      <c r="A8" s="4" t="s">
        <v>23</v>
      </c>
      <c r="B8" s="3">
        <v>1806000000</v>
      </c>
    </row>
    <row r="9" spans="1:2" x14ac:dyDescent="0.35">
      <c r="A9" s="4" t="s">
        <v>9</v>
      </c>
      <c r="B9" s="3">
        <v>5425500000</v>
      </c>
    </row>
    <row r="10" spans="1:2" x14ac:dyDescent="0.35">
      <c r="A10" s="4" t="s">
        <v>27</v>
      </c>
      <c r="B10" s="3">
        <v>3488000000</v>
      </c>
    </row>
    <row r="11" spans="1:2" x14ac:dyDescent="0.35">
      <c r="A11" s="2" t="s">
        <v>16</v>
      </c>
      <c r="B11" s="3">
        <v>10002955000</v>
      </c>
    </row>
    <row r="12" spans="1:2" x14ac:dyDescent="0.35">
      <c r="A12" s="4" t="s">
        <v>21</v>
      </c>
      <c r="B12" s="3">
        <v>817355000</v>
      </c>
    </row>
    <row r="13" spans="1:2" x14ac:dyDescent="0.35">
      <c r="A13" s="4" t="s">
        <v>18</v>
      </c>
      <c r="B13" s="3">
        <v>2634900000</v>
      </c>
    </row>
    <row r="14" spans="1:2" x14ac:dyDescent="0.35">
      <c r="A14" s="4" t="s">
        <v>28</v>
      </c>
      <c r="B14" s="3">
        <v>442750000</v>
      </c>
    </row>
    <row r="15" spans="1:2" x14ac:dyDescent="0.35">
      <c r="A15" s="4" t="s">
        <v>23</v>
      </c>
      <c r="B15" s="3">
        <v>1383000000</v>
      </c>
    </row>
    <row r="16" spans="1:2" x14ac:dyDescent="0.35">
      <c r="A16" s="4" t="s">
        <v>9</v>
      </c>
      <c r="B16" s="3">
        <v>2827200000</v>
      </c>
    </row>
    <row r="17" spans="1:2" x14ac:dyDescent="0.35">
      <c r="A17" s="4" t="s">
        <v>27</v>
      </c>
      <c r="B17" s="3">
        <v>1897750000</v>
      </c>
    </row>
    <row r="18" spans="1:2" x14ac:dyDescent="0.35">
      <c r="A18" s="2" t="s">
        <v>10</v>
      </c>
      <c r="B18" s="3">
        <v>15961655000</v>
      </c>
    </row>
    <row r="19" spans="1:2" x14ac:dyDescent="0.35">
      <c r="A19" s="4" t="s">
        <v>21</v>
      </c>
      <c r="B19" s="3">
        <v>1242630000</v>
      </c>
    </row>
    <row r="20" spans="1:2" x14ac:dyDescent="0.35">
      <c r="A20" s="4" t="s">
        <v>18</v>
      </c>
      <c r="B20" s="3">
        <v>4329160000</v>
      </c>
    </row>
    <row r="21" spans="1:2" x14ac:dyDescent="0.35">
      <c r="A21" s="4" t="s">
        <v>28</v>
      </c>
      <c r="B21" s="3">
        <v>494000000</v>
      </c>
    </row>
    <row r="22" spans="1:2" x14ac:dyDescent="0.35">
      <c r="A22" s="4" t="s">
        <v>23</v>
      </c>
      <c r="B22" s="3">
        <v>1638000000</v>
      </c>
    </row>
    <row r="23" spans="1:2" x14ac:dyDescent="0.35">
      <c r="A23" s="4" t="s">
        <v>9</v>
      </c>
      <c r="B23" s="3">
        <v>5024765000</v>
      </c>
    </row>
    <row r="24" spans="1:2" x14ac:dyDescent="0.35">
      <c r="A24" s="4" t="s">
        <v>27</v>
      </c>
      <c r="B24" s="3">
        <v>3233100000</v>
      </c>
    </row>
    <row r="25" spans="1:2" x14ac:dyDescent="0.35">
      <c r="A25" s="2" t="s">
        <v>32</v>
      </c>
      <c r="B25" s="3">
        <v>43189580000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F212-1B81-4D0D-8A69-9B70CE1F6F73}">
  <dimension ref="A3:C10"/>
  <sheetViews>
    <sheetView workbookViewId="0">
      <selection activeCell="P16" sqref="P16"/>
    </sheetView>
  </sheetViews>
  <sheetFormatPr defaultRowHeight="14.5" x14ac:dyDescent="0.35"/>
  <cols>
    <col min="1" max="1" width="17" bestFit="1" customWidth="1"/>
    <col min="2" max="2" width="6.90625" bestFit="1" customWidth="1"/>
  </cols>
  <sheetData>
    <row r="3" spans="1:3" x14ac:dyDescent="0.35">
      <c r="A3" s="1" t="s">
        <v>46</v>
      </c>
      <c r="B3" t="s">
        <v>45</v>
      </c>
    </row>
    <row r="4" spans="1:3" x14ac:dyDescent="0.35">
      <c r="A4" s="2">
        <v>2020</v>
      </c>
      <c r="B4" s="8"/>
    </row>
    <row r="5" spans="1:3" x14ac:dyDescent="0.35">
      <c r="A5" s="2">
        <v>2021</v>
      </c>
      <c r="B5" s="8">
        <v>0.12194368507381083</v>
      </c>
      <c r="C5" s="9"/>
    </row>
    <row r="6" spans="1:3" x14ac:dyDescent="0.35">
      <c r="A6" s="2">
        <v>2022</v>
      </c>
      <c r="B6" s="8">
        <v>0.11356125342241563</v>
      </c>
      <c r="C6" s="9"/>
    </row>
    <row r="7" spans="1:3" x14ac:dyDescent="0.35">
      <c r="A7" s="2">
        <v>2023</v>
      </c>
      <c r="B7" s="8">
        <v>1.5240255572412183E-2</v>
      </c>
      <c r="C7" s="9"/>
    </row>
    <row r="8" spans="1:3" x14ac:dyDescent="0.35">
      <c r="A8" s="2">
        <v>2024</v>
      </c>
      <c r="B8" s="8">
        <v>0.33283522578281316</v>
      </c>
      <c r="C8" s="9"/>
    </row>
    <row r="9" spans="1:3" x14ac:dyDescent="0.35">
      <c r="A9" s="2">
        <v>2025</v>
      </c>
      <c r="B9" s="8">
        <v>-8.8463901855305574E-2</v>
      </c>
      <c r="C9" s="9"/>
    </row>
    <row r="10" spans="1:3" x14ac:dyDescent="0.35">
      <c r="A10" s="2" t="s">
        <v>32</v>
      </c>
      <c r="B10" s="8"/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182B8-46DD-4953-8F0C-5D6677588807}">
  <dimension ref="A1:J55"/>
  <sheetViews>
    <sheetView workbookViewId="0"/>
  </sheetViews>
  <sheetFormatPr defaultRowHeight="14.5" x14ac:dyDescent="0.35"/>
  <cols>
    <col min="1" max="1" width="17.7265625" bestFit="1" customWidth="1"/>
    <col min="2" max="2" width="6.81640625" bestFit="1" customWidth="1"/>
    <col min="3" max="3" width="8.81640625" bestFit="1" customWidth="1"/>
    <col min="4" max="4" width="7.54296875" bestFit="1" customWidth="1"/>
    <col min="5" max="5" width="11" bestFit="1" customWidth="1"/>
    <col min="6" max="6" width="17.08984375" bestFit="1" customWidth="1"/>
    <col min="7" max="7" width="13" bestFit="1" customWidth="1"/>
    <col min="8" max="8" width="14.36328125" bestFit="1" customWidth="1"/>
    <col min="9" max="9" width="15.54296875" bestFit="1" customWidth="1"/>
    <col min="10" max="10" width="13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33</v>
      </c>
    </row>
    <row r="2" spans="1:10" x14ac:dyDescent="0.35">
      <c r="A2" t="s">
        <v>9</v>
      </c>
      <c r="B2">
        <v>2020</v>
      </c>
      <c r="C2" t="s">
        <v>10</v>
      </c>
      <c r="D2" t="s">
        <v>11</v>
      </c>
      <c r="E2" t="s">
        <v>12</v>
      </c>
      <c r="F2">
        <v>230000</v>
      </c>
      <c r="G2">
        <v>641</v>
      </c>
      <c r="H2">
        <v>4500</v>
      </c>
      <c r="I2" t="s">
        <v>13</v>
      </c>
      <c r="J2" s="3">
        <v>1035000000</v>
      </c>
    </row>
    <row r="3" spans="1:10" x14ac:dyDescent="0.35">
      <c r="A3" t="s">
        <v>9</v>
      </c>
      <c r="B3">
        <v>2020</v>
      </c>
      <c r="C3" t="s">
        <v>14</v>
      </c>
      <c r="D3" t="s">
        <v>15</v>
      </c>
      <c r="E3" t="s">
        <v>12</v>
      </c>
      <c r="F3">
        <v>240000</v>
      </c>
      <c r="G3">
        <v>641</v>
      </c>
      <c r="H3">
        <v>4800</v>
      </c>
      <c r="I3" t="s">
        <v>13</v>
      </c>
      <c r="J3" s="3">
        <v>1152000000</v>
      </c>
    </row>
    <row r="4" spans="1:10" x14ac:dyDescent="0.35">
      <c r="A4" t="s">
        <v>9</v>
      </c>
      <c r="B4">
        <v>2020</v>
      </c>
      <c r="C4" t="s">
        <v>16</v>
      </c>
      <c r="D4" t="s">
        <v>17</v>
      </c>
      <c r="E4" t="s">
        <v>12</v>
      </c>
      <c r="F4">
        <v>235000</v>
      </c>
      <c r="G4">
        <v>641</v>
      </c>
      <c r="H4">
        <v>2700</v>
      </c>
      <c r="I4" t="s">
        <v>13</v>
      </c>
      <c r="J4" s="3">
        <v>634500000</v>
      </c>
    </row>
    <row r="5" spans="1:10" x14ac:dyDescent="0.35">
      <c r="A5" t="s">
        <v>18</v>
      </c>
      <c r="B5">
        <v>2020</v>
      </c>
      <c r="C5" t="s">
        <v>10</v>
      </c>
      <c r="D5" t="s">
        <v>19</v>
      </c>
      <c r="E5" t="s">
        <v>12</v>
      </c>
      <c r="F5">
        <v>260000</v>
      </c>
      <c r="G5">
        <v>631</v>
      </c>
      <c r="H5">
        <v>2500</v>
      </c>
      <c r="I5" t="s">
        <v>13</v>
      </c>
      <c r="J5" s="3">
        <v>650000000</v>
      </c>
    </row>
    <row r="6" spans="1:10" x14ac:dyDescent="0.35">
      <c r="A6" t="s">
        <v>18</v>
      </c>
      <c r="B6">
        <v>2020</v>
      </c>
      <c r="C6" t="s">
        <v>14</v>
      </c>
      <c r="D6" t="s">
        <v>20</v>
      </c>
      <c r="E6" t="s">
        <v>12</v>
      </c>
      <c r="F6">
        <v>270000</v>
      </c>
      <c r="G6">
        <v>631</v>
      </c>
      <c r="H6">
        <v>2600</v>
      </c>
      <c r="I6" t="s">
        <v>13</v>
      </c>
      <c r="J6" s="3">
        <v>702000000</v>
      </c>
    </row>
    <row r="7" spans="1:10" x14ac:dyDescent="0.35">
      <c r="A7" t="s">
        <v>18</v>
      </c>
      <c r="B7">
        <v>2020</v>
      </c>
      <c r="C7" t="s">
        <v>16</v>
      </c>
      <c r="D7" t="s">
        <v>11</v>
      </c>
      <c r="E7" t="s">
        <v>12</v>
      </c>
      <c r="F7">
        <v>265000</v>
      </c>
      <c r="G7">
        <v>631</v>
      </c>
      <c r="H7">
        <v>1500</v>
      </c>
      <c r="I7" t="s">
        <v>13</v>
      </c>
      <c r="J7" s="3">
        <v>397500000</v>
      </c>
    </row>
    <row r="8" spans="1:10" x14ac:dyDescent="0.35">
      <c r="A8" t="s">
        <v>21</v>
      </c>
      <c r="B8">
        <v>2020</v>
      </c>
      <c r="C8" t="s">
        <v>10</v>
      </c>
      <c r="D8" t="s">
        <v>11</v>
      </c>
      <c r="E8" t="s">
        <v>12</v>
      </c>
      <c r="F8">
        <v>550000</v>
      </c>
      <c r="G8">
        <v>769</v>
      </c>
      <c r="H8">
        <v>600</v>
      </c>
      <c r="I8" t="s">
        <v>13</v>
      </c>
      <c r="J8" s="3">
        <v>330000000</v>
      </c>
    </row>
    <row r="9" spans="1:10" x14ac:dyDescent="0.35">
      <c r="A9" t="s">
        <v>21</v>
      </c>
      <c r="B9">
        <v>2020</v>
      </c>
      <c r="C9" t="s">
        <v>14</v>
      </c>
      <c r="D9" t="s">
        <v>15</v>
      </c>
      <c r="E9" t="s">
        <v>12</v>
      </c>
      <c r="F9">
        <v>560000</v>
      </c>
      <c r="G9">
        <v>769</v>
      </c>
      <c r="H9">
        <v>650</v>
      </c>
      <c r="I9" t="s">
        <v>13</v>
      </c>
      <c r="J9" s="3">
        <v>364000000</v>
      </c>
    </row>
    <row r="10" spans="1:10" x14ac:dyDescent="0.35">
      <c r="A10" t="s">
        <v>21</v>
      </c>
      <c r="B10">
        <v>2020</v>
      </c>
      <c r="C10" t="s">
        <v>16</v>
      </c>
      <c r="D10" t="s">
        <v>17</v>
      </c>
      <c r="E10" t="s">
        <v>12</v>
      </c>
      <c r="F10">
        <v>555000</v>
      </c>
      <c r="G10">
        <v>769</v>
      </c>
      <c r="H10">
        <v>400</v>
      </c>
      <c r="I10" t="s">
        <v>13</v>
      </c>
      <c r="J10" s="3">
        <v>222000000</v>
      </c>
    </row>
    <row r="11" spans="1:10" x14ac:dyDescent="0.35">
      <c r="A11" t="s">
        <v>9</v>
      </c>
      <c r="B11">
        <v>2021</v>
      </c>
      <c r="C11" t="s">
        <v>10</v>
      </c>
      <c r="D11" t="s">
        <v>22</v>
      </c>
      <c r="E11" t="s">
        <v>12</v>
      </c>
      <c r="F11">
        <v>235000</v>
      </c>
      <c r="G11">
        <v>641</v>
      </c>
      <c r="H11">
        <v>5021</v>
      </c>
      <c r="I11" t="s">
        <v>13</v>
      </c>
      <c r="J11" s="3">
        <v>1179935000</v>
      </c>
    </row>
    <row r="12" spans="1:10" x14ac:dyDescent="0.35">
      <c r="A12" t="s">
        <v>9</v>
      </c>
      <c r="B12">
        <v>2021</v>
      </c>
      <c r="C12" t="s">
        <v>14</v>
      </c>
      <c r="D12" t="s">
        <v>11</v>
      </c>
      <c r="E12" t="s">
        <v>12</v>
      </c>
      <c r="F12">
        <v>245000</v>
      </c>
      <c r="G12">
        <v>641</v>
      </c>
      <c r="H12">
        <v>5200</v>
      </c>
      <c r="I12" t="s">
        <v>13</v>
      </c>
      <c r="J12" s="3">
        <v>1274000000</v>
      </c>
    </row>
    <row r="13" spans="1:10" x14ac:dyDescent="0.35">
      <c r="A13" t="s">
        <v>9</v>
      </c>
      <c r="B13">
        <v>2021</v>
      </c>
      <c r="C13" t="s">
        <v>16</v>
      </c>
      <c r="D13" t="s">
        <v>15</v>
      </c>
      <c r="E13" t="s">
        <v>12</v>
      </c>
      <c r="F13">
        <v>240000</v>
      </c>
      <c r="G13">
        <v>641</v>
      </c>
      <c r="H13">
        <v>2780</v>
      </c>
      <c r="I13" t="s">
        <v>13</v>
      </c>
      <c r="J13" s="3">
        <v>667200000</v>
      </c>
    </row>
    <row r="14" spans="1:10" x14ac:dyDescent="0.35">
      <c r="A14" t="s">
        <v>18</v>
      </c>
      <c r="B14">
        <v>2021</v>
      </c>
      <c r="C14" t="s">
        <v>10</v>
      </c>
      <c r="D14" t="s">
        <v>19</v>
      </c>
      <c r="E14" t="s">
        <v>12</v>
      </c>
      <c r="F14">
        <v>265000</v>
      </c>
      <c r="G14">
        <v>631</v>
      </c>
      <c r="H14">
        <v>2586</v>
      </c>
      <c r="I14" t="s">
        <v>13</v>
      </c>
      <c r="J14" s="3">
        <v>685290000</v>
      </c>
    </row>
    <row r="15" spans="1:10" x14ac:dyDescent="0.35">
      <c r="A15" t="s">
        <v>18</v>
      </c>
      <c r="B15">
        <v>2021</v>
      </c>
      <c r="C15" t="s">
        <v>14</v>
      </c>
      <c r="D15" t="s">
        <v>20</v>
      </c>
      <c r="E15" t="s">
        <v>12</v>
      </c>
      <c r="F15">
        <v>275000</v>
      </c>
      <c r="G15">
        <v>631</v>
      </c>
      <c r="H15">
        <v>2700</v>
      </c>
      <c r="I15" t="s">
        <v>13</v>
      </c>
      <c r="J15" s="3">
        <v>742500000</v>
      </c>
    </row>
    <row r="16" spans="1:10" x14ac:dyDescent="0.35">
      <c r="A16" t="s">
        <v>18</v>
      </c>
      <c r="B16">
        <v>2021</v>
      </c>
      <c r="C16" t="s">
        <v>16</v>
      </c>
      <c r="D16" t="s">
        <v>11</v>
      </c>
      <c r="E16" t="s">
        <v>12</v>
      </c>
      <c r="F16">
        <v>270000</v>
      </c>
      <c r="G16">
        <v>631</v>
      </c>
      <c r="H16">
        <v>1520</v>
      </c>
      <c r="I16" t="s">
        <v>13</v>
      </c>
      <c r="J16" s="3">
        <v>410400000</v>
      </c>
    </row>
    <row r="17" spans="1:10" x14ac:dyDescent="0.35">
      <c r="A17" t="s">
        <v>21</v>
      </c>
      <c r="B17">
        <v>2021</v>
      </c>
      <c r="C17" t="s">
        <v>10</v>
      </c>
      <c r="D17" t="s">
        <v>11</v>
      </c>
      <c r="E17" t="s">
        <v>12</v>
      </c>
      <c r="F17">
        <v>560000</v>
      </c>
      <c r="G17">
        <v>769</v>
      </c>
      <c r="H17">
        <v>798</v>
      </c>
      <c r="I17" t="s">
        <v>13</v>
      </c>
      <c r="J17" s="3">
        <v>446880000</v>
      </c>
    </row>
    <row r="18" spans="1:10" x14ac:dyDescent="0.35">
      <c r="A18" t="s">
        <v>21</v>
      </c>
      <c r="B18">
        <v>2021</v>
      </c>
      <c r="C18" t="s">
        <v>14</v>
      </c>
      <c r="D18" t="s">
        <v>15</v>
      </c>
      <c r="E18" t="s">
        <v>12</v>
      </c>
      <c r="F18">
        <v>570000</v>
      </c>
      <c r="G18">
        <v>769</v>
      </c>
      <c r="H18">
        <v>820</v>
      </c>
      <c r="I18" t="s">
        <v>13</v>
      </c>
      <c r="J18" s="3">
        <v>467400000</v>
      </c>
    </row>
    <row r="19" spans="1:10" x14ac:dyDescent="0.35">
      <c r="A19" t="s">
        <v>21</v>
      </c>
      <c r="B19">
        <v>2021</v>
      </c>
      <c r="C19" t="s">
        <v>16</v>
      </c>
      <c r="D19" t="s">
        <v>17</v>
      </c>
      <c r="E19" t="s">
        <v>12</v>
      </c>
      <c r="F19">
        <v>565000</v>
      </c>
      <c r="G19">
        <v>769</v>
      </c>
      <c r="H19">
        <v>500</v>
      </c>
      <c r="I19" t="s">
        <v>13</v>
      </c>
      <c r="J19" s="3">
        <v>282500000</v>
      </c>
    </row>
    <row r="20" spans="1:10" x14ac:dyDescent="0.35">
      <c r="A20" t="s">
        <v>9</v>
      </c>
      <c r="B20">
        <v>2022</v>
      </c>
      <c r="C20" t="s">
        <v>10</v>
      </c>
      <c r="D20" t="s">
        <v>11</v>
      </c>
      <c r="E20" t="s">
        <v>12</v>
      </c>
      <c r="F20">
        <v>240000</v>
      </c>
      <c r="G20">
        <v>641</v>
      </c>
      <c r="H20">
        <v>5367</v>
      </c>
      <c r="I20" t="s">
        <v>13</v>
      </c>
      <c r="J20" s="3">
        <v>1288080000</v>
      </c>
    </row>
    <row r="21" spans="1:10" x14ac:dyDescent="0.35">
      <c r="A21" t="s">
        <v>9</v>
      </c>
      <c r="B21">
        <v>2022</v>
      </c>
      <c r="C21" t="s">
        <v>14</v>
      </c>
      <c r="D21" t="s">
        <v>15</v>
      </c>
      <c r="E21" t="s">
        <v>12</v>
      </c>
      <c r="F21">
        <v>250000</v>
      </c>
      <c r="G21">
        <v>641</v>
      </c>
      <c r="H21">
        <v>5550</v>
      </c>
      <c r="I21" t="s">
        <v>13</v>
      </c>
      <c r="J21" s="3">
        <v>1387500000</v>
      </c>
    </row>
    <row r="22" spans="1:10" x14ac:dyDescent="0.35">
      <c r="A22" t="s">
        <v>9</v>
      </c>
      <c r="B22">
        <v>2022</v>
      </c>
      <c r="C22" t="s">
        <v>16</v>
      </c>
      <c r="D22" t="s">
        <v>17</v>
      </c>
      <c r="E22" t="s">
        <v>12</v>
      </c>
      <c r="F22">
        <v>245000</v>
      </c>
      <c r="G22">
        <v>641</v>
      </c>
      <c r="H22">
        <v>3000</v>
      </c>
      <c r="I22" t="s">
        <v>13</v>
      </c>
      <c r="J22" s="3">
        <v>735000000</v>
      </c>
    </row>
    <row r="23" spans="1:10" x14ac:dyDescent="0.35">
      <c r="A23" t="s">
        <v>18</v>
      </c>
      <c r="B23">
        <v>2022</v>
      </c>
      <c r="C23" t="s">
        <v>10</v>
      </c>
      <c r="D23" t="s">
        <v>19</v>
      </c>
      <c r="E23" t="s">
        <v>12</v>
      </c>
      <c r="F23">
        <v>270000</v>
      </c>
      <c r="G23">
        <v>631</v>
      </c>
      <c r="H23">
        <v>3113</v>
      </c>
      <c r="I23" t="s">
        <v>13</v>
      </c>
      <c r="J23" s="3">
        <v>840510000</v>
      </c>
    </row>
    <row r="24" spans="1:10" x14ac:dyDescent="0.35">
      <c r="A24" t="s">
        <v>18</v>
      </c>
      <c r="B24">
        <v>2022</v>
      </c>
      <c r="C24" t="s">
        <v>14</v>
      </c>
      <c r="D24" t="s">
        <v>20</v>
      </c>
      <c r="E24" t="s">
        <v>12</v>
      </c>
      <c r="F24">
        <v>280000</v>
      </c>
      <c r="G24">
        <v>631</v>
      </c>
      <c r="H24">
        <v>3300</v>
      </c>
      <c r="I24" t="s">
        <v>13</v>
      </c>
      <c r="J24" s="3">
        <v>924000000</v>
      </c>
    </row>
    <row r="25" spans="1:10" x14ac:dyDescent="0.35">
      <c r="A25" t="s">
        <v>18</v>
      </c>
      <c r="B25">
        <v>2022</v>
      </c>
      <c r="C25" t="s">
        <v>16</v>
      </c>
      <c r="D25" t="s">
        <v>11</v>
      </c>
      <c r="E25" t="s">
        <v>12</v>
      </c>
      <c r="F25">
        <v>275000</v>
      </c>
      <c r="G25">
        <v>631</v>
      </c>
      <c r="H25">
        <v>1900</v>
      </c>
      <c r="I25" t="s">
        <v>13</v>
      </c>
      <c r="J25" s="3">
        <v>522500000</v>
      </c>
    </row>
    <row r="26" spans="1:10" x14ac:dyDescent="0.35">
      <c r="A26" t="s">
        <v>21</v>
      </c>
      <c r="B26">
        <v>2022</v>
      </c>
      <c r="C26" t="s">
        <v>10</v>
      </c>
      <c r="D26" t="s">
        <v>11</v>
      </c>
      <c r="E26" t="s">
        <v>12</v>
      </c>
      <c r="F26">
        <v>570000</v>
      </c>
      <c r="G26">
        <v>769</v>
      </c>
      <c r="H26">
        <v>753</v>
      </c>
      <c r="I26" t="s">
        <v>13</v>
      </c>
      <c r="J26" s="3">
        <v>429210000</v>
      </c>
    </row>
    <row r="27" spans="1:10" x14ac:dyDescent="0.35">
      <c r="A27" t="s">
        <v>21</v>
      </c>
      <c r="B27">
        <v>2022</v>
      </c>
      <c r="C27" t="s">
        <v>14</v>
      </c>
      <c r="D27" t="s">
        <v>15</v>
      </c>
      <c r="E27" t="s">
        <v>12</v>
      </c>
      <c r="F27">
        <v>580000</v>
      </c>
      <c r="G27">
        <v>769</v>
      </c>
      <c r="H27">
        <v>780</v>
      </c>
      <c r="I27" t="s">
        <v>13</v>
      </c>
      <c r="J27" s="3">
        <v>452400000</v>
      </c>
    </row>
    <row r="28" spans="1:10" x14ac:dyDescent="0.35">
      <c r="A28" t="s">
        <v>21</v>
      </c>
      <c r="B28">
        <v>2022</v>
      </c>
      <c r="C28" t="s">
        <v>16</v>
      </c>
      <c r="D28" t="s">
        <v>17</v>
      </c>
      <c r="E28" t="s">
        <v>12</v>
      </c>
      <c r="F28">
        <v>575000</v>
      </c>
      <c r="G28">
        <v>769</v>
      </c>
      <c r="H28">
        <v>480</v>
      </c>
      <c r="I28" t="s">
        <v>13</v>
      </c>
      <c r="J28" s="3">
        <v>276000000</v>
      </c>
    </row>
    <row r="29" spans="1:10" x14ac:dyDescent="0.35">
      <c r="A29" t="s">
        <v>9</v>
      </c>
      <c r="B29">
        <v>2023</v>
      </c>
      <c r="C29" t="s">
        <v>10</v>
      </c>
      <c r="D29" t="s">
        <v>11</v>
      </c>
      <c r="E29" t="s">
        <v>12</v>
      </c>
      <c r="F29">
        <v>250000</v>
      </c>
      <c r="G29">
        <v>641</v>
      </c>
      <c r="H29">
        <v>6087</v>
      </c>
      <c r="I29" t="s">
        <v>13</v>
      </c>
      <c r="J29" s="3">
        <v>1521750000</v>
      </c>
    </row>
    <row r="30" spans="1:10" x14ac:dyDescent="0.35">
      <c r="A30" t="s">
        <v>9</v>
      </c>
      <c r="B30">
        <v>2023</v>
      </c>
      <c r="C30" t="s">
        <v>14</v>
      </c>
      <c r="D30" t="s">
        <v>15</v>
      </c>
      <c r="E30" t="s">
        <v>12</v>
      </c>
      <c r="F30">
        <v>260000</v>
      </c>
      <c r="G30">
        <v>641</v>
      </c>
      <c r="H30">
        <v>6200</v>
      </c>
      <c r="I30" t="s">
        <v>13</v>
      </c>
      <c r="J30" s="3">
        <v>1612000000</v>
      </c>
    </row>
    <row r="31" spans="1:10" x14ac:dyDescent="0.35">
      <c r="A31" t="s">
        <v>9</v>
      </c>
      <c r="B31">
        <v>2023</v>
      </c>
      <c r="C31" t="s">
        <v>16</v>
      </c>
      <c r="D31" t="s">
        <v>17</v>
      </c>
      <c r="E31" t="s">
        <v>12</v>
      </c>
      <c r="F31">
        <v>255000</v>
      </c>
      <c r="G31">
        <v>641</v>
      </c>
      <c r="H31">
        <v>3100</v>
      </c>
      <c r="I31" t="s">
        <v>13</v>
      </c>
      <c r="J31" s="3">
        <v>790500000</v>
      </c>
    </row>
    <row r="32" spans="1:10" x14ac:dyDescent="0.35">
      <c r="A32" t="s">
        <v>18</v>
      </c>
      <c r="B32">
        <v>2023</v>
      </c>
      <c r="C32" t="s">
        <v>10</v>
      </c>
      <c r="D32" t="s">
        <v>19</v>
      </c>
      <c r="E32" t="s">
        <v>12</v>
      </c>
      <c r="F32">
        <v>280000</v>
      </c>
      <c r="G32">
        <v>631</v>
      </c>
      <c r="H32">
        <v>3962</v>
      </c>
      <c r="I32" t="s">
        <v>13</v>
      </c>
      <c r="J32" s="3">
        <v>1109360000</v>
      </c>
    </row>
    <row r="33" spans="1:10" x14ac:dyDescent="0.35">
      <c r="A33" t="s">
        <v>18</v>
      </c>
      <c r="B33">
        <v>2023</v>
      </c>
      <c r="C33" t="s">
        <v>14</v>
      </c>
      <c r="D33" t="s">
        <v>20</v>
      </c>
      <c r="E33" t="s">
        <v>12</v>
      </c>
      <c r="F33">
        <v>290000</v>
      </c>
      <c r="G33">
        <v>631</v>
      </c>
      <c r="H33">
        <v>4000</v>
      </c>
      <c r="I33" t="s">
        <v>13</v>
      </c>
      <c r="J33" s="3">
        <v>1160000000</v>
      </c>
    </row>
    <row r="34" spans="1:10" x14ac:dyDescent="0.35">
      <c r="A34" t="s">
        <v>18</v>
      </c>
      <c r="B34">
        <v>2023</v>
      </c>
      <c r="C34" t="s">
        <v>16</v>
      </c>
      <c r="D34" t="s">
        <v>11</v>
      </c>
      <c r="E34" t="s">
        <v>12</v>
      </c>
      <c r="F34">
        <v>285000</v>
      </c>
      <c r="G34">
        <v>631</v>
      </c>
      <c r="H34">
        <v>2300</v>
      </c>
      <c r="I34" t="s">
        <v>13</v>
      </c>
      <c r="J34" s="3">
        <v>655500000</v>
      </c>
    </row>
    <row r="35" spans="1:10" x14ac:dyDescent="0.35">
      <c r="A35" t="s">
        <v>21</v>
      </c>
      <c r="B35">
        <v>2023</v>
      </c>
      <c r="C35" t="s">
        <v>10</v>
      </c>
      <c r="D35" t="s">
        <v>11</v>
      </c>
      <c r="E35" t="s">
        <v>12</v>
      </c>
      <c r="F35">
        <v>580000</v>
      </c>
      <c r="G35">
        <v>769</v>
      </c>
      <c r="H35">
        <v>63</v>
      </c>
      <c r="I35" t="s">
        <v>13</v>
      </c>
      <c r="J35" s="3">
        <v>36540000</v>
      </c>
    </row>
    <row r="36" spans="1:10" x14ac:dyDescent="0.35">
      <c r="A36" t="s">
        <v>21</v>
      </c>
      <c r="B36">
        <v>2023</v>
      </c>
      <c r="C36" t="s">
        <v>14</v>
      </c>
      <c r="D36" t="s">
        <v>15</v>
      </c>
      <c r="E36" t="s">
        <v>12</v>
      </c>
      <c r="F36">
        <v>590000</v>
      </c>
      <c r="G36">
        <v>769</v>
      </c>
      <c r="H36">
        <v>63</v>
      </c>
      <c r="I36" t="s">
        <v>13</v>
      </c>
      <c r="J36" s="3">
        <v>37170000</v>
      </c>
    </row>
    <row r="37" spans="1:10" x14ac:dyDescent="0.35">
      <c r="A37" t="s">
        <v>21</v>
      </c>
      <c r="B37">
        <v>2023</v>
      </c>
      <c r="C37" t="s">
        <v>16</v>
      </c>
      <c r="D37" t="s">
        <v>17</v>
      </c>
      <c r="E37" t="s">
        <v>12</v>
      </c>
      <c r="F37">
        <v>585000</v>
      </c>
      <c r="G37">
        <v>769</v>
      </c>
      <c r="H37">
        <v>63</v>
      </c>
      <c r="I37" t="s">
        <v>13</v>
      </c>
      <c r="J37" s="3">
        <v>36855000</v>
      </c>
    </row>
    <row r="38" spans="1:10" x14ac:dyDescent="0.35">
      <c r="A38" t="s">
        <v>23</v>
      </c>
      <c r="B38">
        <v>2024</v>
      </c>
      <c r="C38" t="s">
        <v>10</v>
      </c>
      <c r="D38" t="s">
        <v>24</v>
      </c>
      <c r="E38" t="s">
        <v>25</v>
      </c>
      <c r="F38">
        <v>500000</v>
      </c>
      <c r="G38">
        <v>1001</v>
      </c>
      <c r="H38">
        <v>1406</v>
      </c>
      <c r="I38" t="s">
        <v>13</v>
      </c>
      <c r="J38" s="3">
        <v>703000000</v>
      </c>
    </row>
    <row r="39" spans="1:10" x14ac:dyDescent="0.35">
      <c r="A39" t="s">
        <v>23</v>
      </c>
      <c r="B39">
        <v>2024</v>
      </c>
      <c r="C39" t="s">
        <v>14</v>
      </c>
      <c r="D39" t="s">
        <v>15</v>
      </c>
      <c r="E39" t="s">
        <v>25</v>
      </c>
      <c r="F39">
        <v>520000</v>
      </c>
      <c r="G39">
        <v>1001</v>
      </c>
      <c r="H39">
        <v>1500</v>
      </c>
      <c r="I39" t="s">
        <v>13</v>
      </c>
      <c r="J39" s="3">
        <v>780000000</v>
      </c>
    </row>
    <row r="40" spans="1:10" x14ac:dyDescent="0.35">
      <c r="A40" t="s">
        <v>23</v>
      </c>
      <c r="B40">
        <v>2024</v>
      </c>
      <c r="C40" t="s">
        <v>16</v>
      </c>
      <c r="D40" t="s">
        <v>26</v>
      </c>
      <c r="E40" t="s">
        <v>25</v>
      </c>
      <c r="F40">
        <v>510000</v>
      </c>
      <c r="G40">
        <v>1001</v>
      </c>
      <c r="H40">
        <v>900</v>
      </c>
      <c r="I40" t="s">
        <v>13</v>
      </c>
      <c r="J40" s="3">
        <v>459000000</v>
      </c>
    </row>
    <row r="41" spans="1:10" x14ac:dyDescent="0.35">
      <c r="A41" t="s">
        <v>27</v>
      </c>
      <c r="B41">
        <v>2024</v>
      </c>
      <c r="C41" t="s">
        <v>10</v>
      </c>
      <c r="D41" t="s">
        <v>11</v>
      </c>
      <c r="E41" t="s">
        <v>25</v>
      </c>
      <c r="F41">
        <v>300000</v>
      </c>
      <c r="G41">
        <v>641</v>
      </c>
      <c r="H41">
        <v>5662</v>
      </c>
      <c r="I41" t="s">
        <v>13</v>
      </c>
      <c r="J41" s="3">
        <v>1698600000</v>
      </c>
    </row>
    <row r="42" spans="1:10" x14ac:dyDescent="0.35">
      <c r="A42" t="s">
        <v>27</v>
      </c>
      <c r="B42">
        <v>2024</v>
      </c>
      <c r="C42" t="s">
        <v>14</v>
      </c>
      <c r="D42" t="s">
        <v>22</v>
      </c>
      <c r="E42" t="s">
        <v>25</v>
      </c>
      <c r="F42">
        <v>320000</v>
      </c>
      <c r="G42">
        <v>641</v>
      </c>
      <c r="H42">
        <v>5800</v>
      </c>
      <c r="I42" t="s">
        <v>13</v>
      </c>
      <c r="J42" s="3">
        <v>1856000000</v>
      </c>
    </row>
    <row r="43" spans="1:10" x14ac:dyDescent="0.35">
      <c r="A43" t="s">
        <v>27</v>
      </c>
      <c r="B43">
        <v>2024</v>
      </c>
      <c r="C43" t="s">
        <v>16</v>
      </c>
      <c r="D43" t="s">
        <v>17</v>
      </c>
      <c r="E43" t="s">
        <v>25</v>
      </c>
      <c r="F43">
        <v>310000</v>
      </c>
      <c r="G43">
        <v>641</v>
      </c>
      <c r="H43">
        <v>3150</v>
      </c>
      <c r="I43" t="s">
        <v>13</v>
      </c>
      <c r="J43" s="3">
        <v>976500000</v>
      </c>
    </row>
    <row r="44" spans="1:10" x14ac:dyDescent="0.35">
      <c r="A44" t="s">
        <v>18</v>
      </c>
      <c r="B44">
        <v>2024</v>
      </c>
      <c r="C44" t="s">
        <v>10</v>
      </c>
      <c r="D44" t="s">
        <v>19</v>
      </c>
      <c r="E44" t="s">
        <v>12</v>
      </c>
      <c r="F44">
        <v>290000</v>
      </c>
      <c r="G44">
        <v>631</v>
      </c>
      <c r="H44">
        <v>3600</v>
      </c>
      <c r="I44" t="s">
        <v>13</v>
      </c>
      <c r="J44" s="3">
        <v>1044000000</v>
      </c>
    </row>
    <row r="45" spans="1:10" x14ac:dyDescent="0.35">
      <c r="A45" t="s">
        <v>18</v>
      </c>
      <c r="B45">
        <v>2024</v>
      </c>
      <c r="C45" t="s">
        <v>14</v>
      </c>
      <c r="D45" t="s">
        <v>20</v>
      </c>
      <c r="E45" t="s">
        <v>12</v>
      </c>
      <c r="F45">
        <v>300000</v>
      </c>
      <c r="G45">
        <v>631</v>
      </c>
      <c r="H45">
        <v>3700</v>
      </c>
      <c r="I45" t="s">
        <v>13</v>
      </c>
      <c r="J45" s="3">
        <v>1110000000</v>
      </c>
    </row>
    <row r="46" spans="1:10" x14ac:dyDescent="0.35">
      <c r="A46" t="s">
        <v>18</v>
      </c>
      <c r="B46">
        <v>2024</v>
      </c>
      <c r="C46" t="s">
        <v>16</v>
      </c>
      <c r="D46" t="s">
        <v>11</v>
      </c>
      <c r="E46" t="s">
        <v>12</v>
      </c>
      <c r="F46">
        <v>295000</v>
      </c>
      <c r="G46">
        <v>631</v>
      </c>
      <c r="H46">
        <v>2200</v>
      </c>
      <c r="I46" t="s">
        <v>13</v>
      </c>
      <c r="J46" s="3">
        <v>649000000</v>
      </c>
    </row>
    <row r="47" spans="1:10" x14ac:dyDescent="0.35">
      <c r="A47" t="s">
        <v>23</v>
      </c>
      <c r="B47">
        <v>2025</v>
      </c>
      <c r="C47" t="s">
        <v>10</v>
      </c>
      <c r="D47" t="s">
        <v>17</v>
      </c>
      <c r="E47" t="s">
        <v>25</v>
      </c>
      <c r="F47">
        <v>550000</v>
      </c>
      <c r="G47">
        <v>1001</v>
      </c>
      <c r="H47">
        <v>1700</v>
      </c>
      <c r="I47" t="s">
        <v>13</v>
      </c>
      <c r="J47" s="3">
        <v>935000000</v>
      </c>
    </row>
    <row r="48" spans="1:10" x14ac:dyDescent="0.35">
      <c r="A48" t="s">
        <v>23</v>
      </c>
      <c r="B48">
        <v>2025</v>
      </c>
      <c r="C48" t="s">
        <v>14</v>
      </c>
      <c r="D48" t="s">
        <v>24</v>
      </c>
      <c r="E48" t="s">
        <v>25</v>
      </c>
      <c r="F48">
        <v>570000</v>
      </c>
      <c r="G48">
        <v>1001</v>
      </c>
      <c r="H48">
        <v>1800</v>
      </c>
      <c r="I48" t="s">
        <v>13</v>
      </c>
      <c r="J48" s="3">
        <v>1026000000</v>
      </c>
    </row>
    <row r="49" spans="1:10" x14ac:dyDescent="0.35">
      <c r="A49" t="s">
        <v>23</v>
      </c>
      <c r="B49">
        <v>2025</v>
      </c>
      <c r="C49" t="s">
        <v>16</v>
      </c>
      <c r="D49" t="s">
        <v>11</v>
      </c>
      <c r="E49" t="s">
        <v>25</v>
      </c>
      <c r="F49">
        <v>560000</v>
      </c>
      <c r="G49">
        <v>1001</v>
      </c>
      <c r="H49">
        <v>1650</v>
      </c>
      <c r="I49" t="s">
        <v>13</v>
      </c>
      <c r="J49" s="3">
        <v>924000000</v>
      </c>
    </row>
    <row r="50" spans="1:10" x14ac:dyDescent="0.35">
      <c r="A50" t="s">
        <v>27</v>
      </c>
      <c r="B50">
        <v>2025</v>
      </c>
      <c r="C50" t="s">
        <v>10</v>
      </c>
      <c r="D50" t="s">
        <v>15</v>
      </c>
      <c r="E50" t="s">
        <v>25</v>
      </c>
      <c r="F50">
        <v>330000</v>
      </c>
      <c r="G50">
        <v>641</v>
      </c>
      <c r="H50">
        <v>4650</v>
      </c>
      <c r="I50" t="s">
        <v>13</v>
      </c>
      <c r="J50" s="3">
        <v>1534500000</v>
      </c>
    </row>
    <row r="51" spans="1:10" x14ac:dyDescent="0.35">
      <c r="A51" t="s">
        <v>27</v>
      </c>
      <c r="B51">
        <v>2025</v>
      </c>
      <c r="C51" t="s">
        <v>14</v>
      </c>
      <c r="D51" t="s">
        <v>11</v>
      </c>
      <c r="E51" t="s">
        <v>25</v>
      </c>
      <c r="F51">
        <v>340000</v>
      </c>
      <c r="G51">
        <v>641</v>
      </c>
      <c r="H51">
        <v>4800</v>
      </c>
      <c r="I51" t="s">
        <v>13</v>
      </c>
      <c r="J51" s="3">
        <v>1632000000</v>
      </c>
    </row>
    <row r="52" spans="1:10" x14ac:dyDescent="0.35">
      <c r="A52" t="s">
        <v>27</v>
      </c>
      <c r="B52">
        <v>2025</v>
      </c>
      <c r="C52" t="s">
        <v>16</v>
      </c>
      <c r="D52" t="s">
        <v>22</v>
      </c>
      <c r="E52" t="s">
        <v>25</v>
      </c>
      <c r="F52">
        <v>335000</v>
      </c>
      <c r="G52">
        <v>641</v>
      </c>
      <c r="H52">
        <v>2750</v>
      </c>
      <c r="I52" t="s">
        <v>13</v>
      </c>
      <c r="J52" s="3">
        <v>921250000</v>
      </c>
    </row>
    <row r="53" spans="1:10" x14ac:dyDescent="0.35">
      <c r="A53" t="s">
        <v>28</v>
      </c>
      <c r="B53">
        <v>2025</v>
      </c>
      <c r="C53" t="s">
        <v>10</v>
      </c>
      <c r="D53" t="s">
        <v>29</v>
      </c>
      <c r="E53" t="s">
        <v>25</v>
      </c>
      <c r="F53">
        <v>380000</v>
      </c>
      <c r="G53">
        <v>850</v>
      </c>
      <c r="H53">
        <v>1300</v>
      </c>
      <c r="I53" t="s">
        <v>13</v>
      </c>
      <c r="J53" s="3">
        <v>494000000</v>
      </c>
    </row>
    <row r="54" spans="1:10" x14ac:dyDescent="0.35">
      <c r="A54" t="s">
        <v>28</v>
      </c>
      <c r="B54">
        <v>2025</v>
      </c>
      <c r="C54" t="s">
        <v>14</v>
      </c>
      <c r="D54" t="s">
        <v>20</v>
      </c>
      <c r="E54" t="s">
        <v>25</v>
      </c>
      <c r="F54">
        <v>390000</v>
      </c>
      <c r="G54">
        <v>850</v>
      </c>
      <c r="H54">
        <v>1400</v>
      </c>
      <c r="I54" t="s">
        <v>13</v>
      </c>
      <c r="J54" s="3">
        <v>546000000</v>
      </c>
    </row>
    <row r="55" spans="1:10" x14ac:dyDescent="0.35">
      <c r="A55" t="s">
        <v>28</v>
      </c>
      <c r="B55">
        <v>2025</v>
      </c>
      <c r="C55" t="s">
        <v>16</v>
      </c>
      <c r="D55" t="s">
        <v>15</v>
      </c>
      <c r="E55" t="s">
        <v>25</v>
      </c>
      <c r="F55">
        <v>385000</v>
      </c>
      <c r="G55">
        <v>850</v>
      </c>
      <c r="H55">
        <v>1150</v>
      </c>
      <c r="I55" t="s">
        <v>13</v>
      </c>
      <c r="J55" s="3">
        <v>442750000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0369-8EBD-48FA-A8C1-5B831574FC78}">
  <dimension ref="A11:N11"/>
  <sheetViews>
    <sheetView showGridLines="0" showRowColHeaders="0" zoomScaleNormal="100" workbookViewId="0">
      <selection activeCell="V19" sqref="V1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5" x14ac:dyDescent="0.35"/>
  <cols>
    <col min="1" max="2" width="8.7265625" style="6"/>
    <col min="3" max="16384" width="8.7265625" style="5"/>
  </cols>
  <sheetData>
    <row r="11" spans="14:14" x14ac:dyDescent="0.35">
      <c r="N11" s="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AB79-AD5D-4504-A970-A0D7D6F3CBFE}">
  <dimension ref="A11:N11"/>
  <sheetViews>
    <sheetView showGridLines="0" showRowColHeaders="0" tabSelected="1" zoomScaleNormal="100" workbookViewId="0">
      <selection activeCell="R27" sqref="R2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5" x14ac:dyDescent="0.35"/>
  <cols>
    <col min="1" max="2" width="8.7265625" style="6"/>
    <col min="3" max="16384" width="8.7265625" style="5"/>
  </cols>
  <sheetData>
    <row r="11" spans="14:14" x14ac:dyDescent="0.35">
      <c r="N11" s="7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6C0A-F837-486E-8AFC-A45F1B94686E}">
  <dimension ref="A1:C4"/>
  <sheetViews>
    <sheetView workbookViewId="0">
      <selection activeCell="A19" sqref="A19"/>
    </sheetView>
  </sheetViews>
  <sheetFormatPr defaultRowHeight="14.5" x14ac:dyDescent="0.35"/>
  <cols>
    <col min="1" max="1" width="21.08984375" bestFit="1" customWidth="1"/>
    <col min="2" max="2" width="8.54296875" bestFit="1" customWidth="1"/>
  </cols>
  <sheetData>
    <row r="1" spans="1:3" x14ac:dyDescent="0.35">
      <c r="A1" s="1" t="s">
        <v>1</v>
      </c>
      <c r="B1" t="s">
        <v>36</v>
      </c>
    </row>
    <row r="2" spans="1:3" x14ac:dyDescent="0.35">
      <c r="C2">
        <f>GETPIVOTDATA("Sales Volume",$A$1)</f>
        <v>141374</v>
      </c>
    </row>
    <row r="3" spans="1:3" x14ac:dyDescent="0.35">
      <c r="A3" t="s">
        <v>30</v>
      </c>
    </row>
    <row r="4" spans="1:3" x14ac:dyDescent="0.35">
      <c r="A4" s="11">
        <v>141374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EC104-6D6B-4685-8733-6BCDFA1667BB}">
  <dimension ref="A1:B8"/>
  <sheetViews>
    <sheetView workbookViewId="0">
      <selection activeCell="M9" sqref="M9"/>
    </sheetView>
  </sheetViews>
  <sheetFormatPr defaultRowHeight="14.5" x14ac:dyDescent="0.35"/>
  <cols>
    <col min="1" max="1" width="6.81640625" bestFit="1" customWidth="1"/>
    <col min="2" max="2" width="12.54296875" bestFit="1" customWidth="1"/>
  </cols>
  <sheetData>
    <row r="1" spans="1:2" x14ac:dyDescent="0.35">
      <c r="A1" s="1" t="s">
        <v>1</v>
      </c>
      <c r="B1" t="s">
        <v>37</v>
      </c>
    </row>
    <row r="2" spans="1:2" x14ac:dyDescent="0.35">
      <c r="A2" s="2">
        <v>2020</v>
      </c>
      <c r="B2" s="10">
        <v>20250</v>
      </c>
    </row>
    <row r="3" spans="1:2" x14ac:dyDescent="0.35">
      <c r="A3" s="2">
        <v>2021</v>
      </c>
      <c r="B3" s="10">
        <v>21925</v>
      </c>
    </row>
    <row r="4" spans="1:2" x14ac:dyDescent="0.35">
      <c r="A4" s="2">
        <v>2022</v>
      </c>
      <c r="B4" s="10">
        <v>24243</v>
      </c>
    </row>
    <row r="5" spans="1:2" x14ac:dyDescent="0.35">
      <c r="A5" s="2">
        <v>2023</v>
      </c>
      <c r="B5" s="10">
        <v>25838</v>
      </c>
    </row>
    <row r="6" spans="1:2" x14ac:dyDescent="0.35">
      <c r="A6" s="2">
        <v>2024</v>
      </c>
      <c r="B6" s="10">
        <v>27918</v>
      </c>
    </row>
    <row r="7" spans="1:2" x14ac:dyDescent="0.35">
      <c r="A7" s="2">
        <v>2025</v>
      </c>
      <c r="B7" s="10">
        <v>21200</v>
      </c>
    </row>
    <row r="8" spans="1:2" x14ac:dyDescent="0.35">
      <c r="A8" s="2" t="s">
        <v>38</v>
      </c>
      <c r="B8" s="10">
        <v>141374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87B28-80DF-437D-9320-402C1A509FC1}">
  <dimension ref="A1:C10"/>
  <sheetViews>
    <sheetView workbookViewId="0">
      <selection activeCell="A4" sqref="A4"/>
    </sheetView>
  </sheetViews>
  <sheetFormatPr defaultRowHeight="14.5" x14ac:dyDescent="0.35"/>
  <cols>
    <col min="1" max="1" width="17.7265625" bestFit="1" customWidth="1"/>
    <col min="2" max="2" width="12.54296875" bestFit="1" customWidth="1"/>
    <col min="3" max="3" width="14.81640625" bestFit="1" customWidth="1"/>
  </cols>
  <sheetData>
    <row r="1" spans="1:3" x14ac:dyDescent="0.35">
      <c r="A1" s="1" t="s">
        <v>1</v>
      </c>
      <c r="B1" t="s">
        <v>36</v>
      </c>
    </row>
    <row r="3" spans="1:3" x14ac:dyDescent="0.35">
      <c r="A3" s="1" t="s">
        <v>39</v>
      </c>
      <c r="B3" t="s">
        <v>37</v>
      </c>
      <c r="C3" t="s">
        <v>34</v>
      </c>
    </row>
    <row r="4" spans="1:3" x14ac:dyDescent="0.35">
      <c r="A4" s="2" t="s">
        <v>28</v>
      </c>
      <c r="B4" s="10">
        <v>3850</v>
      </c>
      <c r="C4" s="3">
        <v>1482750000</v>
      </c>
    </row>
    <row r="5" spans="1:3" x14ac:dyDescent="0.35">
      <c r="A5" s="2" t="s">
        <v>21</v>
      </c>
      <c r="B5" s="10">
        <v>5970</v>
      </c>
      <c r="C5" s="3">
        <v>3380955000</v>
      </c>
    </row>
    <row r="6" spans="1:3" x14ac:dyDescent="0.35">
      <c r="A6" s="2" t="s">
        <v>23</v>
      </c>
      <c r="B6" s="10">
        <v>8956</v>
      </c>
      <c r="C6" s="3">
        <v>4827000000</v>
      </c>
    </row>
    <row r="7" spans="1:3" x14ac:dyDescent="0.35">
      <c r="A7" s="2" t="s">
        <v>27</v>
      </c>
      <c r="B7" s="10">
        <v>26812</v>
      </c>
      <c r="C7" s="3">
        <v>8618850000</v>
      </c>
    </row>
    <row r="8" spans="1:3" x14ac:dyDescent="0.35">
      <c r="A8" s="2" t="s">
        <v>18</v>
      </c>
      <c r="B8" s="10">
        <v>41481</v>
      </c>
      <c r="C8" s="3">
        <v>11602560000</v>
      </c>
    </row>
    <row r="9" spans="1:3" x14ac:dyDescent="0.35">
      <c r="A9" s="2" t="s">
        <v>9</v>
      </c>
      <c r="B9" s="10">
        <v>54305</v>
      </c>
      <c r="C9" s="3">
        <v>13277465000</v>
      </c>
    </row>
    <row r="10" spans="1:3" x14ac:dyDescent="0.35">
      <c r="A10" s="2" t="s">
        <v>38</v>
      </c>
      <c r="B10" s="10">
        <v>141374</v>
      </c>
      <c r="C10" s="3">
        <v>43189580000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E989-8C5D-41F7-9CFD-5EEDD5F7AF9B}">
  <dimension ref="A3:C4"/>
  <sheetViews>
    <sheetView workbookViewId="0">
      <selection activeCell="A4" sqref="A4"/>
    </sheetView>
  </sheetViews>
  <sheetFormatPr defaultRowHeight="14.5" x14ac:dyDescent="0.35"/>
  <cols>
    <col min="1" max="1" width="14.81640625" bestFit="1" customWidth="1"/>
    <col min="3" max="3" width="11.81640625" bestFit="1" customWidth="1"/>
  </cols>
  <sheetData>
    <row r="3" spans="1:3" x14ac:dyDescent="0.35">
      <c r="A3" t="s">
        <v>34</v>
      </c>
    </row>
    <row r="4" spans="1:3" x14ac:dyDescent="0.35">
      <c r="A4" s="3">
        <v>43189580000</v>
      </c>
      <c r="C4" s="3">
        <f>GETPIVOTDATA("Ricavi",$A$3)</f>
        <v>43189580000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5DF5-3ACB-4A04-9839-73C879A1F173}">
  <dimension ref="A1:B8"/>
  <sheetViews>
    <sheetView workbookViewId="0">
      <selection sqref="A1:B8"/>
    </sheetView>
  </sheetViews>
  <sheetFormatPr defaultRowHeight="14.5" x14ac:dyDescent="0.35"/>
  <cols>
    <col min="1" max="1" width="17.7265625" bestFit="1" customWidth="1"/>
    <col min="2" max="2" width="10" bestFit="1" customWidth="1"/>
  </cols>
  <sheetData>
    <row r="1" spans="1:2" x14ac:dyDescent="0.35">
      <c r="A1" s="1" t="s">
        <v>39</v>
      </c>
      <c r="B1" t="s">
        <v>40</v>
      </c>
    </row>
    <row r="2" spans="1:2" x14ac:dyDescent="0.35">
      <c r="A2" s="2" t="s">
        <v>28</v>
      </c>
      <c r="B2" s="3">
        <v>1482750000</v>
      </c>
    </row>
    <row r="3" spans="1:2" x14ac:dyDescent="0.35">
      <c r="A3" s="2" t="s">
        <v>21</v>
      </c>
      <c r="B3" s="3">
        <v>3380955000</v>
      </c>
    </row>
    <row r="4" spans="1:2" x14ac:dyDescent="0.35">
      <c r="A4" s="2" t="s">
        <v>23</v>
      </c>
      <c r="B4" s="3">
        <v>4827000000</v>
      </c>
    </row>
    <row r="5" spans="1:2" x14ac:dyDescent="0.35">
      <c r="A5" s="2" t="s">
        <v>27</v>
      </c>
      <c r="B5" s="3">
        <v>8618850000</v>
      </c>
    </row>
    <row r="6" spans="1:2" x14ac:dyDescent="0.35">
      <c r="A6" s="2" t="s">
        <v>18</v>
      </c>
      <c r="B6" s="3">
        <v>11602560000</v>
      </c>
    </row>
    <row r="7" spans="1:2" x14ac:dyDescent="0.35">
      <c r="A7" s="2" t="s">
        <v>9</v>
      </c>
      <c r="B7" s="3">
        <v>13277465000</v>
      </c>
    </row>
    <row r="8" spans="1:2" x14ac:dyDescent="0.35">
      <c r="A8" s="2" t="s">
        <v>38</v>
      </c>
      <c r="B8" s="3">
        <v>43189580000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A84DD-2BBE-4618-8DE9-414E3A861084}">
  <dimension ref="A1:B5"/>
  <sheetViews>
    <sheetView workbookViewId="0">
      <selection sqref="A1:B5"/>
    </sheetView>
  </sheetViews>
  <sheetFormatPr defaultRowHeight="14.5" x14ac:dyDescent="0.35"/>
  <cols>
    <col min="1" max="1" width="12.90625" bestFit="1" customWidth="1"/>
    <col min="2" max="2" width="10" bestFit="1" customWidth="1"/>
  </cols>
  <sheetData>
    <row r="1" spans="1:2" x14ac:dyDescent="0.35">
      <c r="A1" s="1" t="s">
        <v>41</v>
      </c>
      <c r="B1" t="s">
        <v>40</v>
      </c>
    </row>
    <row r="2" spans="1:2" x14ac:dyDescent="0.35">
      <c r="A2" s="2" t="s">
        <v>14</v>
      </c>
      <c r="B2" s="3">
        <v>17224970000</v>
      </c>
    </row>
    <row r="3" spans="1:2" x14ac:dyDescent="0.35">
      <c r="A3" s="2" t="s">
        <v>16</v>
      </c>
      <c r="B3" s="3">
        <v>10002955000</v>
      </c>
    </row>
    <row r="4" spans="1:2" x14ac:dyDescent="0.35">
      <c r="A4" s="2" t="s">
        <v>10</v>
      </c>
      <c r="B4" s="3">
        <v>15961655000</v>
      </c>
    </row>
    <row r="5" spans="1:2" x14ac:dyDescent="0.35">
      <c r="A5" s="2" t="s">
        <v>38</v>
      </c>
      <c r="B5" s="3">
        <v>43189580000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F63A5-9F79-4EF5-8049-586FE98BB086}">
  <dimension ref="A1:B8"/>
  <sheetViews>
    <sheetView workbookViewId="0">
      <selection sqref="A1:B8"/>
    </sheetView>
  </sheetViews>
  <sheetFormatPr defaultRowHeight="14.5" x14ac:dyDescent="0.35"/>
  <cols>
    <col min="1" max="1" width="17.7265625" bestFit="1" customWidth="1"/>
    <col min="2" max="2" width="22.453125" bestFit="1" customWidth="1"/>
  </cols>
  <sheetData>
    <row r="1" spans="1:2" x14ac:dyDescent="0.35">
      <c r="A1" s="1" t="s">
        <v>31</v>
      </c>
      <c r="B1" t="s">
        <v>35</v>
      </c>
    </row>
    <row r="2" spans="1:2" x14ac:dyDescent="0.35">
      <c r="A2" s="2" t="s">
        <v>21</v>
      </c>
      <c r="B2" s="10">
        <v>570000</v>
      </c>
    </row>
    <row r="3" spans="1:2" x14ac:dyDescent="0.35">
      <c r="A3" s="2" t="s">
        <v>23</v>
      </c>
      <c r="B3" s="10">
        <v>535000</v>
      </c>
    </row>
    <row r="4" spans="1:2" x14ac:dyDescent="0.35">
      <c r="A4" s="2" t="s">
        <v>28</v>
      </c>
      <c r="B4" s="10">
        <v>385000</v>
      </c>
    </row>
    <row r="5" spans="1:2" x14ac:dyDescent="0.35">
      <c r="A5" s="2" t="s">
        <v>27</v>
      </c>
      <c r="B5" s="10">
        <v>322500</v>
      </c>
    </row>
    <row r="6" spans="1:2" x14ac:dyDescent="0.35">
      <c r="A6" s="2" t="s">
        <v>18</v>
      </c>
      <c r="B6" s="10">
        <v>278000</v>
      </c>
    </row>
    <row r="7" spans="1:2" x14ac:dyDescent="0.35">
      <c r="A7" s="2" t="s">
        <v>9</v>
      </c>
      <c r="B7" s="10">
        <v>243750</v>
      </c>
    </row>
    <row r="8" spans="1:2" x14ac:dyDescent="0.35">
      <c r="A8" s="2" t="s">
        <v>32</v>
      </c>
      <c r="B8" s="10">
        <v>374722.22222222225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F9C030-C271-4B24-A45A-365F3692A9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17</vt:i4>
      </vt:variant>
    </vt:vector>
  </HeadingPairs>
  <TitlesOfParts>
    <vt:vector size="17" baseType="lpstr">
      <vt:lpstr>KPI_P_1</vt:lpstr>
      <vt:lpstr>KPI_P_2</vt:lpstr>
      <vt:lpstr>KPI_P_3</vt:lpstr>
      <vt:lpstr>KPI_G_1</vt:lpstr>
      <vt:lpstr>KPI_G_2</vt:lpstr>
      <vt:lpstr>KPI_G_3</vt:lpstr>
      <vt:lpstr>YOY</vt:lpstr>
      <vt:lpstr>lamborghini_sales_2020_2025</vt:lpstr>
      <vt:lpstr>Dashboard_Desing</vt:lpstr>
      <vt:lpstr>Dashboard</vt:lpstr>
      <vt:lpstr>KPI_V_1</vt:lpstr>
      <vt:lpstr>KPI_V_2</vt:lpstr>
      <vt:lpstr>KPI_V_3</vt:lpstr>
      <vt:lpstr>KPI_R_1</vt:lpstr>
      <vt:lpstr>KPI_R_2</vt:lpstr>
      <vt:lpstr>KPI_R_3</vt:lpstr>
      <vt:lpstr>KPI_R_4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Cotti</dc:creator>
  <cp:lastModifiedBy>Luca Cotti</cp:lastModifiedBy>
  <dcterms:created xsi:type="dcterms:W3CDTF">2026-03-15T12:05:13Z</dcterms:created>
  <dcterms:modified xsi:type="dcterms:W3CDTF">2026-03-21T18:31:28Z</dcterms:modified>
</cp:coreProperties>
</file>